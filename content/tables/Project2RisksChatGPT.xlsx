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FH\MSE\MTE7102_DataQualityVisuals\content\tables\"/>
    </mc:Choice>
  </mc:AlternateContent>
  <xr:revisionPtr revIDLastSave="0" documentId="13_ncr:1_{834B35EB-5258-423A-8CAE-09374AF2FCED}" xr6:coauthVersionLast="47" xr6:coauthVersionMax="47" xr10:uidLastSave="{00000000-0000-0000-0000-000000000000}"/>
  <bookViews>
    <workbookView xWindow="-96" yWindow="-96" windowWidth="23232" windowHeight="13872" firstSheet="5" activeTab="8" xr2:uid="{C85C79CF-50DE-474C-BA2B-673335091AFF}"/>
  </bookViews>
  <sheets>
    <sheet name="Tabelle1" sheetId="1" r:id="rId1"/>
    <sheet name="Tabelle2" sheetId="2" r:id="rId2"/>
    <sheet name="Tabelle3" sheetId="3" r:id="rId3"/>
    <sheet name="Table with Risks and Measures" sheetId="5" r:id="rId4"/>
    <sheet name="Graphical Overview" sheetId="4" r:id="rId5"/>
    <sheet name="RiskEval" sheetId="6" r:id="rId6"/>
    <sheet name="RiskTreatment" sheetId="7" r:id="rId7"/>
    <sheet name="RiskWhatWhen" sheetId="8" r:id="rId8"/>
    <sheet name="CheckJuly24072026" sheetId="12" r:id="rId9"/>
    <sheet name="CheckJanuary09" sheetId="11" r:id="rId10"/>
    <sheet name="CheckDecember12" sheetId="10" r:id="rId11"/>
    <sheet name="CheckNovember14" sheetId="9" r:id="rId12"/>
  </sheets>
  <definedNames>
    <definedName name="_xlnm._FilterDatabase" localSheetId="0" hidden="1">Tabelle1!$A$1:$A$106</definedName>
    <definedName name="_xlnm._FilterDatabase" localSheetId="1" hidden="1">Tabelle2!$A$1:$A$49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G6" i="5"/>
  <c r="G3" i="5"/>
  <c r="G4" i="5"/>
  <c r="G5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" i="5"/>
</calcChain>
</file>

<file path=xl/sharedStrings.xml><?xml version="1.0" encoding="utf-8"?>
<sst xmlns="http://schemas.openxmlformats.org/spreadsheetml/2006/main" count="1046" uniqueCount="396">
  <si>
    <t>Major Risk Categories &amp; Examples</t>
  </si>
  <si>
    <t>Category</t>
  </si>
  <si>
    <t>Risk</t>
  </si>
  <si>
    <t>Description / Why it matters</t>
  </si>
  <si>
    <t>Possible Mitigation</t>
  </si>
  <si>
    <t>Data-related</t>
  </si>
  <si>
    <t>Insufficient data / wrong data</t>
  </si>
  <si>
    <t>You might not be able to obtain enough data, or the data doesn’t suit your research question.</t>
  </si>
  <si>
    <t>Early check of data availability; backup data sources; pilot data collection</t>
  </si>
  <si>
    <t>Poor data quality / missing values / noise</t>
  </si>
  <si>
    <t>Data may contain errors, missing or inconsistent entries, outliers, etc.</t>
  </si>
  <si>
    <t>Data cleaning pipeline; robust methods; exploratory data analysis; sensitivity analyses</t>
  </si>
  <si>
    <t>Data leakage / target leakage</t>
  </si>
  <si>
    <t>Information from the test set “leaks” into training resulting in over-optimistic models.</t>
  </si>
  <si>
    <t>Strict train–test split; cross-validation protocols; careful feature engineering. See e.g. research on reproducibility and leakage arXiv</t>
  </si>
  <si>
    <t>Bias in data (sampling bias, measurement bias)</t>
  </si>
  <si>
    <t>The data might systematically misrepresent some groups or features, harming generalizability.</t>
  </si>
  <si>
    <t>Be aware of representativeness; use reweighting, stratification; discuss bias explicitly.</t>
  </si>
  <si>
    <t>Privacy / confidentiality / legal constraints</t>
  </si>
  <si>
    <t>The data may include sensitive info and be subject to privacy laws (GDPR etc.).</t>
  </si>
  <si>
    <t>Anonymize, use differential privacy methods, get ethics permission, restrict access.</t>
  </si>
  <si>
    <t>Data access / permission withdrawal</t>
  </si>
  <si>
    <t>Data access might get revoked, or you lose API credentials, or permissions change.</t>
  </si>
  <si>
    <t>Document agreements; have fallback datasets; negotiate access early.</t>
  </si>
  <si>
    <t>Methodological / Modeling</t>
  </si>
  <si>
    <t>Overfitting / underfitting</t>
  </si>
  <si>
    <t>The model may be too complex (fitting noise) or too simple (not capturing signal).</t>
  </si>
  <si>
    <t>Regularization, cross-validation, model selection.</t>
  </si>
  <si>
    <t>Model interpretability / explainability issues</t>
  </si>
  <si>
    <t>Especially in “black box” models, you may not understand model decisions, which undermines trust.</t>
  </si>
  <si>
    <t>Use interpretable models or post-hoc explanation techniques (LIME, SHAP).</t>
  </si>
  <si>
    <t>Inappropriate choice of metrics</t>
  </si>
  <si>
    <t>The metric you optimize may not reflect real-world relevance.</t>
  </si>
  <si>
    <t>Choose evaluation metrics aligned with the research question / stakeholder needs.</t>
  </si>
  <si>
    <t>Reproducibility issues</t>
  </si>
  <si>
    <t>Others (or yourself later) may not be able to reproduce results due to missing code, random seeds, etc.</t>
  </si>
  <si>
    <t>Release code/data, fix software versions, document pipeline.</t>
  </si>
  <si>
    <t>Scope &amp; Planning</t>
  </si>
  <si>
    <t>Scope creep / changing goals</t>
  </si>
  <si>
    <t>The project expands beyond what is feasible in the available time.</t>
  </si>
  <si>
    <t>Define clear, bounded objectives; revisit scope periodically.</t>
  </si>
  <si>
    <t>Underestimation of time / effort</t>
  </si>
  <si>
    <t>Some tasks (data cleaning, debugging) often take much more time than expected.</t>
  </si>
  <si>
    <t>Time buffer, iterative schedule, milestones.</t>
  </si>
  <si>
    <t>Resource constraints (compute, memory)</t>
  </si>
  <si>
    <t>Models may require more computing power, memory, GPU time than available.</t>
  </si>
  <si>
    <t>Estimate computational resources ahead; use cloud or HPC if needed.</t>
  </si>
  <si>
    <t>Technical / Infrastructure</t>
  </si>
  <si>
    <t>Software / library dependencies / version conflicts</t>
  </si>
  <si>
    <t>Upgrades or mismatches may break your code.</t>
  </si>
  <si>
    <t>Use virtual environments, containerization (Docker), record versions.</t>
  </si>
  <si>
    <t>Hardware failures / data loss</t>
  </si>
  <si>
    <t>Disk crashes, hardware errors, power outages.</t>
  </si>
  <si>
    <t>Use backups (version control, cloud), regular commits.</t>
  </si>
  <si>
    <t>Ethical / Legal / Societal</t>
  </si>
  <si>
    <t>Ethical misuse / adversarial attacks</t>
  </si>
  <si>
    <t>Models might be used in harmful ways, or manipulated.</t>
  </si>
  <si>
    <t>Ethical review, adversarial robustness, disclaimers.</t>
  </si>
  <si>
    <t>Lack of consent / informed consent</t>
  </si>
  <si>
    <t>If using human subjects or personal data, the subjects must consent.</t>
  </si>
  <si>
    <t>Ethical approval, anonymization, IRB processes.</t>
  </si>
  <si>
    <t>Algorithmic fairness / discrimination</t>
  </si>
  <si>
    <t>The model might perpetuate or amplify bias.</t>
  </si>
  <si>
    <t>Fairness-aware methods, audits, fairness metrics.</t>
  </si>
  <si>
    <t>Validation &amp; Deployment</t>
  </si>
  <si>
    <t>No real-world validation</t>
  </si>
  <si>
    <t>The model might perform well in lab but fail in deployment.</t>
  </si>
  <si>
    <t>Use hold-out test sets, pilot deployments, feedback loops.</t>
  </si>
  <si>
    <t>Concept drift / data shift</t>
  </si>
  <si>
    <t>The data distribution may change over time, making the model obsolete.</t>
  </si>
  <si>
    <t>Monitor performance over time; plan for retraining, adaptation.</t>
  </si>
  <si>
    <t>Human / Organizational</t>
  </si>
  <si>
    <t>Insufficient expertise</t>
  </si>
  <si>
    <t>You may lack skills (statistics, ML, domain knowledge) required.</t>
  </si>
  <si>
    <t>Seek supervision, take tutorials, collaborate.</t>
  </si>
  <si>
    <t>Communication / stakeholder mismatch</t>
  </si>
  <si>
    <t>Misunderstanding the goals with supervisors or domain experts.</t>
  </si>
  <si>
    <t>Frequent check-ins, written specifications.</t>
  </si>
  <si>
    <t>Motivation / burnout / time management</t>
  </si>
  <si>
    <t>The workload may lead to fatigue or delays.</t>
  </si>
  <si>
    <t>Break tasks, set realistic schedules, self-care.</t>
  </si>
  <si>
    <t>Research &amp; Publication</t>
  </si>
  <si>
    <t>Negative or null results</t>
  </si>
  <si>
    <t>You might find that there’s no strong signal or effect.</t>
  </si>
  <si>
    <t>Be ready to present null findings; pre-register or justify.</t>
  </si>
  <si>
    <t>Publication / reproducibility pressure</t>
  </si>
  <si>
    <t>Pressure to produce impressive results may lead to questionable practices.</t>
  </si>
  <si>
    <t>Aim for methodological rigor, document all decision</t>
  </si>
  <si>
    <t>🧩 Allgemeine Risiken einer Masterarbeit</t>
  </si>
  <si>
    <t>1️⃣ Themenwahl &amp; Zieldefinition</t>
  </si>
  <si>
    <t>Risiko</t>
  </si>
  <si>
    <t>Beschreibung</t>
  </si>
  <si>
    <t>Beispiel</t>
  </si>
  <si>
    <t>Mögliche Gegenmaßnahmen</t>
  </si>
  <si>
    <t>Unklare oder zu breite Fragestellung</t>
  </si>
  <si>
    <t>Das Thema ist zu vage oder umfasst zu viele Teilaspekte → keine klare Forschungsrichtung.</t>
  </si>
  <si>
    <t>„Künstliche Intelligenz in der Medizin“ ohne Eingrenzung.</t>
  </si>
  <si>
    <t>Früh mit Betreuer Zieldefinition abstimmen, Exposé schreiben, Scope klar eingrenzen.</t>
  </si>
  <si>
    <t>Thema zu eng / kaum Quellen</t>
  </si>
  <si>
    <t>Zu spezielles Thema erschwert Literaturrecherche oder Datensammlung.</t>
  </si>
  <si>
    <t>Nur eine bestimmte Softwareversion als Forschungsgegenstand.</t>
  </si>
  <si>
    <t>Literatur-Scoping-Review vor Projektstart; ggf. Thema leicht anpassen.</t>
  </si>
  <si>
    <t>Themenänderung während der Arbeit</t>
  </si>
  <si>
    <t>Änderungen im Projekt führen zu Verzögerungen.</t>
  </si>
  <si>
    <t>Neue Methode scheint interessanter, Projekt wird umgeplant.</t>
  </si>
  <si>
    <t>Änderungsmanagement etablieren, Betreuer informieren, neuen Zeitplan erstellen.</t>
  </si>
  <si>
    <t>2️⃣ Zeitmanagement &amp; Organisation</t>
  </si>
  <si>
    <t>Gegenmaßnahmen</t>
  </si>
  <si>
    <t>Zeitliche Fehleinschätzung</t>
  </si>
  <si>
    <t>Einzelne Arbeitsschritte dauern deutlich länger als geplant.</t>
  </si>
  <si>
    <t>Datenaufbereitung nimmt doppelt so viel Zeit wie erwartet.</t>
  </si>
  <si>
    <t>Zeitpuffer einplanen (20–30 %), Gantt-Plan nutzen, wöchentliche Meilensteine.</t>
  </si>
  <si>
    <t>Prokrastination / Motivationsabfall</t>
  </si>
  <si>
    <t>Aufschieben oder Überforderung führt zu Zeitdruck am Ende.</t>
  </si>
  <si>
    <t>Wochenlang kein Fortschritt, Abgabe in Gefahr.</t>
  </si>
  <si>
    <t>Arbeitsplan mit kleinen Etappen; Betreuer-Check-ins; feste Schreibzeiten.</t>
  </si>
  <si>
    <t>Abgabefristen &amp; Bürokratie übersehen</t>
  </si>
  <si>
    <t>Formale Fristen (Anmeldung, Abgabe, Verlängerung) werden übersehen.</t>
  </si>
  <si>
    <t>Anmeldung zu spät eingereicht.</t>
  </si>
  <si>
    <t>Terminplan mit Fristen erstellen, Erinnerungen setzen.</t>
  </si>
  <si>
    <t>3️⃣ Personelle Risiken</t>
  </si>
  <si>
    <t>Ausfall von Projektteilnehmern (z. B. Krankheit)</t>
  </si>
  <si>
    <t>Teammitglied oder Studierender selbst fällt temporär oder dauerhaft aus.</t>
  </si>
  <si>
    <t>Krankheit oder familiäre Verpflichtungen.</t>
  </si>
  <si>
    <t>Früh Aufgaben verteilen, Backup-Person oder Ersatzplan haben; Betreuer informieren; ggf. Fristverlängerung beantragen.</t>
  </si>
  <si>
    <t>Betreuer-Ausfall oder mangelnde Betreuung</t>
  </si>
  <si>
    <t>Betreuer ist krank, wechselt Institution oder reagiert nicht.</t>
  </si>
  <si>
    <t>Betreuer im Ausland, keine Rückmeldungen mehr.</t>
  </si>
  <si>
    <t>Zweitbetreuer bestimmen; Kommunikationskanäle früh klären; regelmäßige Berichte senden.</t>
  </si>
  <si>
    <t>Konflikte im Team (bei Gruppenarbeiten)</t>
  </si>
  <si>
    <t>Unstimmigkeiten führen zu Spannungen, schlechter Zusammenarbeit.</t>
  </si>
  <si>
    <t>Unterschiedliche Arbeitsstile oder Prioritäten.</t>
  </si>
  <si>
    <t>Rollenverteilung dokumentieren, Teamregeln definieren, Konfliktgespräche moderieren.</t>
  </si>
  <si>
    <t>4️⃣ Technische &amp; Infrastruktur-Risiken</t>
  </si>
  <si>
    <t>Hardwareausfall / Datenverlust</t>
  </si>
  <si>
    <t>Rechnerdefekt, Festplattenfehler oder Stromausfall führen zu Verlust von Arbeit oder Daten.</t>
  </si>
  <si>
    <t>Laptop kaputt, kein Backup.</t>
  </si>
  <si>
    <t>Regelmäßige Backups (lokal + Cloud), Versionskontrolle (Git), USV bei sensibler Hardware.</t>
  </si>
  <si>
    <t>Softwareprobleme / Versionskonflikte</t>
  </si>
  <si>
    <t>Tools, Bibliotheken oder Updates führen zu Inkompatibilitäten.</t>
  </si>
  <si>
    <t>Nach Update läuft Code nicht mehr.</t>
  </si>
  <si>
    <t>Virtuelle Umgebungen, Docker-Container, Softwareversionen dokumentieren.</t>
  </si>
  <si>
    <t>Zugriffsverlust auf Systeme oder Server</t>
  </si>
  <si>
    <t>Rechte oder Passwörter gehen verloren; Accounts gesperrt.</t>
  </si>
  <si>
    <t>Uni-Account läuft ab.</t>
  </si>
  <si>
    <t>Frühzeitige Verlängerung, lokale Kopien wichtiger Daten.</t>
  </si>
  <si>
    <t>Fehlende oder defekte Messgeräte</t>
  </si>
  <si>
    <t>Bei experimentellen Arbeiten: Sensoren oder Geräte fallen aus.</t>
  </si>
  <si>
    <t>Defekter Sensor im Labor.</t>
  </si>
  <si>
    <t>Ersatzgeräte reservieren, Wartung einplanen, Laborpersonal früh einbeziehen.</t>
  </si>
  <si>
    <t>5️⃣ Daten- &amp; Forschungsrisiken</t>
  </si>
  <si>
    <t>Daten nicht verfügbar / Zugriff verweigert</t>
  </si>
  <si>
    <t>Externe Partner liefern keine Daten oder Kooperationsvertrag scheitert.</t>
  </si>
  <si>
    <t>Firma zieht Datennutzung zurück.</t>
  </si>
  <si>
    <t>Früh verbindliche Zusage einholen; alternative Datenquellen vorbereiten.</t>
  </si>
  <si>
    <t>Datenqualität unzureichend</t>
  </si>
  <si>
    <t>Fehlerhafte, unvollständige oder verrauschte Daten.</t>
  </si>
  <si>
    <t>Messwerte fehlerhaft oder inkonsistent.</t>
  </si>
  <si>
    <t>Datenbereinigung, Plausibilitätsprüfungen, Qualitätssicherung dokumentieren.</t>
  </si>
  <si>
    <t>Fehlende Reproduzierbarkeit / Dokumentation</t>
  </si>
  <si>
    <t>Arbeit kann später nicht nachvollzogen werden.</t>
  </si>
  <si>
    <t>Keine Versionskontrolle, fehlende Protokolle.</t>
  </si>
  <si>
    <t>Dokumentation parallel führen, Code kommentieren, README-Dateien erstellen.</t>
  </si>
  <si>
    <t>Unzureichende Methodenauswahl</t>
  </si>
  <si>
    <t>Gewählte Methoden passen nicht zur Forschungsfrage.</t>
  </si>
  <si>
    <t>Falsche statistische Tests.</t>
  </si>
  <si>
    <t>Früh mit Betreuer oder Methodenexperten abstimmen, ggf. Pilotstudie durchführen.</t>
  </si>
  <si>
    <t>6️⃣ Ethische &amp; rechtliche Risiken</t>
  </si>
  <si>
    <t>Datenschutzverletzung / ethische Probleme</t>
  </si>
  <si>
    <t>Personenbezogene Daten oder vertrauliche Informationen unsachgemäß behandelt.</t>
  </si>
  <si>
    <t>Veröffentlichung sensibler Patientendaten.</t>
  </si>
  <si>
    <t>Anonymisierung, DSGVO beachten, Ethikvotum einholen.</t>
  </si>
  <si>
    <t>Plagiat / falsche Zitation</t>
  </si>
  <si>
    <t>Unerlaubte Übernahme fremder Texte oder Ideen.</t>
  </si>
  <si>
    <t>Copy-Paste aus Artikeln ohne Quellen.</t>
  </si>
  <si>
    <t>Plagiatsprüfung, Zitationsregeln einhalten, Quellen dokumentieren.</t>
  </si>
  <si>
    <t>Urheberrechtsverletzung</t>
  </si>
  <si>
    <t>Nutzung von Bildern, Texten oder Code ohne Lizenz.</t>
  </si>
  <si>
    <t>Grafiken aus Publikationen übernommen.</t>
  </si>
  <si>
    <t>Creative Commons oder eigene Grafiken nutzen; Rechte prüfen.</t>
  </si>
  <si>
    <t>Interessenskonflikt mit externen Partnern</t>
  </si>
  <si>
    <t>Externe Auftraggeber verlangen Ergebnismanipulation oder Geheimhaltung.</t>
  </si>
  <si>
    <t>Firma will negative Resultate nicht veröffentlicht sehen.</t>
  </si>
  <si>
    <t>Vertragliche Klarheit, Transparenz mit Hochschule, Ethikleitlinien beachten.</t>
  </si>
  <si>
    <t>7️⃣ Kommunikation &amp; Zusammenarbeit</t>
  </si>
  <si>
    <t>Schlechte Kommunikation mit Betreuer / Stakeholdern</t>
  </si>
  <si>
    <t>Missverständnisse über Erwartungen oder Fortschritt.</t>
  </si>
  <si>
    <t>Unterschiedliche Zielvorstellungen.</t>
  </si>
  <si>
    <t>Regelmäßige Statusberichte, Protokolle, Feedback einholen.</t>
  </si>
  <si>
    <t>Mangelnde Abstimmung mit Kooperationspartnern</t>
  </si>
  <si>
    <t>Externe Partner antworten zu spät oder gar nicht.</t>
  </si>
  <si>
    <t>Unternehmen reagiert nicht auf E-Mails.</t>
  </si>
  <si>
    <t>Klare Ansprechpartner und Kommunikationsrhythmus definieren.</t>
  </si>
  <si>
    <t>Fehlendes Feedback</t>
  </si>
  <si>
    <t>Arbeit entwickelt sich in falsche Richtung.</t>
  </si>
  <si>
    <t>Betreuer liest Entwurf erst kurz vor Abgabe.</t>
  </si>
  <si>
    <t>Zwischenstände regelmäßig einreichen, Feedbacktermine früh fixieren.</t>
  </si>
  <si>
    <t>8️⃣ Schreibprozess &amp; Abgabe</t>
  </si>
  <si>
    <t>Formatierungsprobleme / technische Fehler</t>
  </si>
  <si>
    <t>LaTeX-Fehler, defekte Abbildungen, Verzeichnisse falsch.</t>
  </si>
  <si>
    <t>Abbildungen nicht eingebunden.</t>
  </si>
  <si>
    <t>Frühzeitig Formatvorlage einrichten, Testdruck durchführen.</t>
  </si>
  <si>
    <t>Druck- oder Upload-Probleme</t>
  </si>
  <si>
    <t>Datei zu groß, falsches Format, Serverausfall bei Upload.</t>
  </si>
  <si>
    <t>Upload kurz vor Deadline scheitert.</t>
  </si>
  <si>
    <t>Einen Tag vorher finalisieren, mehrere Backups.</t>
  </si>
  <si>
    <t>Schreibblockaden / Überforderung am Ende</t>
  </si>
  <si>
    <t>Zeitdruck, Angst, Stress → keine Produktivität.</t>
  </si>
  <si>
    <t>Kurz vor Abgabe kein Fortschritt.</t>
  </si>
  <si>
    <t>Schreibplan mit kleinen Zielen, regelmäßige Pausen, ggf. Unterstützung durch Schreibberatung.</t>
  </si>
  <si>
    <t>9️⃣ Externe &amp; Umweltfaktoren</t>
  </si>
  <si>
    <t>Krankheit / Unfall / persönliche Belastung</t>
  </si>
  <si>
    <t>Unerwartete gesundheitliche Ausfälle.</t>
  </si>
  <si>
    <t>Grippe, Unfall, familiäre Krise.</t>
  </si>
  <si>
    <t>Pufferzeit, Kommunikation mit Prüfungsamt, ggf. Verlängerungsantrag.</t>
  </si>
  <si>
    <t>Pandemie / höhere Gewalt / Naturereignisse</t>
  </si>
  <si>
    <t>Ereignisse außerhalb der Kontrolle stören den Zeitplan.</t>
  </si>
  <si>
    <t>Laborzugang während Pandemie gesperrt.</t>
  </si>
  <si>
    <t>Digitale Alternativen, Notfallplan, Online-Meetings.</t>
  </si>
  <si>
    <t>Stromausfall / Internetprobleme</t>
  </si>
  <si>
    <t>Technische Störungen verhindern Arbeit.</t>
  </si>
  <si>
    <t>Kein Internetzugang während Online-Recherche.</t>
  </si>
  <si>
    <t>Offline-Kopien wichtiger Quellen, lokale Backups, mobile Daten als Reserve.</t>
  </si>
  <si>
    <t>Unklare Ziele</t>
  </si>
  <si>
    <t>Ziele sind zu schwammig formuliert. Ziele sind nicht messbar</t>
  </si>
  <si>
    <t>Risk Matrix</t>
  </si>
  <si>
    <t>Likelyhood</t>
  </si>
  <si>
    <t>Severity</t>
  </si>
  <si>
    <t>Almost Certain</t>
  </si>
  <si>
    <t>Likely</t>
  </si>
  <si>
    <t>Possible</t>
  </si>
  <si>
    <t>Unlikely</t>
  </si>
  <si>
    <t>Rare</t>
  </si>
  <si>
    <t>Insignificant</t>
  </si>
  <si>
    <t>Minor</t>
  </si>
  <si>
    <t>Moderate</t>
  </si>
  <si>
    <t>Major</t>
  </si>
  <si>
    <t>Severe</t>
  </si>
  <si>
    <t>Group</t>
  </si>
  <si>
    <t>Goal</t>
  </si>
  <si>
    <t>Undererstimated time/effort</t>
  </si>
  <si>
    <t>Some tasks take more time than initially expected</t>
  </si>
  <si>
    <t>Unclear question</t>
  </si>
  <si>
    <t>The topic description is to vague or contains to many goals</t>
  </si>
  <si>
    <t>Unclear goals</t>
  </si>
  <si>
    <t>The goals are not clearly defined or can not be measured</t>
  </si>
  <si>
    <t>Time and Organisation</t>
  </si>
  <si>
    <t>Procrastination</t>
  </si>
  <si>
    <t>Risk Description</t>
  </si>
  <si>
    <t>Tasks are pushed back</t>
  </si>
  <si>
    <t>Human Resources</t>
  </si>
  <si>
    <t>Unavailability of main project staff, e.g. due to illness</t>
  </si>
  <si>
    <t>One or multiple project staff are not available</t>
  </si>
  <si>
    <t>Unavailability of advisor, e.g. due to illness, accident etc.</t>
  </si>
  <si>
    <t>The advisor is not available</t>
  </si>
  <si>
    <t>Tech and Infrastructure</t>
  </si>
  <si>
    <t xml:space="preserve">Software Version/Library/Dependency </t>
  </si>
  <si>
    <t>Missmatch in Versions, new library versions break the code</t>
  </si>
  <si>
    <t>Hardware is damaged</t>
  </si>
  <si>
    <t>The Laptops or other material is damaged and needs repairs or replacement</t>
  </si>
  <si>
    <t>Data and research</t>
  </si>
  <si>
    <t>Data related</t>
  </si>
  <si>
    <t>Bias in data, not enough data</t>
  </si>
  <si>
    <t>Not reproducable work</t>
  </si>
  <si>
    <t>The work provided can not be reproduced</t>
  </si>
  <si>
    <t>Ethical and Legal</t>
  </si>
  <si>
    <t>Plagiarism or wrong citation</t>
  </si>
  <si>
    <t>Unallowed or undeclared usage of sources</t>
  </si>
  <si>
    <t xml:space="preserve">Copyright </t>
  </si>
  <si>
    <t>Used literature or materials which are restricted</t>
  </si>
  <si>
    <t>Communication and Cooperation</t>
  </si>
  <si>
    <t>Bad communication with stakeholder or advisor</t>
  </si>
  <si>
    <t>Advisor or stakeholders are not heared. Their inputs are ignored</t>
  </si>
  <si>
    <t>insufficient exchange with external partners</t>
  </si>
  <si>
    <t>External partners do not react, are delayed or communication towards them is late or poor</t>
  </si>
  <si>
    <t>Force Majeure</t>
  </si>
  <si>
    <t>Unforseen familiar crisis</t>
  </si>
  <si>
    <t>Unecpected crisis in family</t>
  </si>
  <si>
    <t>Number</t>
  </si>
  <si>
    <t>Likelyhood times Severity</t>
  </si>
  <si>
    <t>X</t>
  </si>
  <si>
    <t>Not knowing required tools or programming languages</t>
  </si>
  <si>
    <t xml:space="preserve">Accept </t>
  </si>
  <si>
    <t>Transfer</t>
  </si>
  <si>
    <t>Avoid</t>
  </si>
  <si>
    <t>Detail Action</t>
  </si>
  <si>
    <t>Start early</t>
  </si>
  <si>
    <t>Weekly Advisor Meetings</t>
  </si>
  <si>
    <t>Use Citation, Bibliography</t>
  </si>
  <si>
    <t>Document Steps, Upload Versions on Github</t>
  </si>
  <si>
    <t>Second Laptop, Code on Github/Miro/Teams/Outlook</t>
  </si>
  <si>
    <t>Advisor to define emergency replacement</t>
  </si>
  <si>
    <t>Document in case it hapens</t>
  </si>
  <si>
    <t>Document end of tasks in Miro Calendar, Reevaluate after project</t>
  </si>
  <si>
    <t>Define SMART goals</t>
  </si>
  <si>
    <t>Describe which goals are part of scope</t>
  </si>
  <si>
    <t>Run the code multiple times, have tetcases e.g. unittests</t>
  </si>
  <si>
    <t>Stakeholders in Scrum Team</t>
  </si>
  <si>
    <t>Other study projects</t>
  </si>
  <si>
    <t>Other classes demand more attention, less time for project</t>
  </si>
  <si>
    <t>Reduce</t>
  </si>
  <si>
    <t>Use minimum time for Projects/classes</t>
  </si>
  <si>
    <t>Work projects</t>
  </si>
  <si>
    <t>Other projects at work demand urgent attention, less time for project</t>
  </si>
  <si>
    <t>Reduction of risk due to starting early, defining blockers for study work</t>
  </si>
  <si>
    <t>To be documented in miro calendar case it happens</t>
  </si>
  <si>
    <t>2, 7</t>
  </si>
  <si>
    <t>4, 6, 10, 12</t>
  </si>
  <si>
    <t>Treatment</t>
  </si>
  <si>
    <t>Treatment Description</t>
  </si>
  <si>
    <t>Unavailability of main project staff</t>
  </si>
  <si>
    <t>Unavailability of advisor</t>
  </si>
  <si>
    <t>Document after risk occured</t>
  </si>
  <si>
    <t>When</t>
  </si>
  <si>
    <t>Strategy Decision What</t>
  </si>
  <si>
    <t>Checkup When</t>
  </si>
  <si>
    <t>Checkup Action or OK</t>
  </si>
  <si>
    <t>Accept : Nothing done</t>
  </si>
  <si>
    <t>Added blockers in Work calendar, Work Account invited to meeting Series (Jour Fixe), Study Account: Set Blockers on Weekend, Researched with ChatGPT for optimal or minimal study plan</t>
  </si>
  <si>
    <t>Work on he project started 25.09.2025, when attending data quality meeting at AWS, beeing part of AWS Modernisation initiative</t>
  </si>
  <si>
    <t>Provide contact of partner working at BFH, Document in case it hapens</t>
  </si>
  <si>
    <t>Contact of partner provided in teams, and added to Miro board</t>
  </si>
  <si>
    <t>Asked for Contact, Confirmed to be Jürgen Vogel</t>
  </si>
  <si>
    <t>23.10.205</t>
  </si>
  <si>
    <t>Second Laptop is available at home, The Latex document is a Github project, documentation is on miro. Work Laptop can also be used for most tasks, but has no Latex installed</t>
  </si>
  <si>
    <t>No preparation to be planned</t>
  </si>
  <si>
    <t>Document bigger Steps, Upload Versions on Github of document, in Miro use Kanban to document tasks</t>
  </si>
  <si>
    <t>Github project for Latex Document</t>
  </si>
  <si>
    <t>Jabref used as GUI for Biblliography, Biber used for build</t>
  </si>
  <si>
    <t>Risk is accepted, learning is wanted effect</t>
  </si>
  <si>
    <t>Declare sources in bibliography, in case of post sources only use public documents</t>
  </si>
  <si>
    <t>Weekly Advisor Meetings, Jour Fixe</t>
  </si>
  <si>
    <t>Jour Fixe Setup</t>
  </si>
  <si>
    <t>Keep exchange chanells also when changing team</t>
  </si>
  <si>
    <t>In the research section smart goals have been setup</t>
  </si>
  <si>
    <t>The introduction describes which parts of the initial project description are part of this document</t>
  </si>
  <si>
    <t>Why</t>
  </si>
  <si>
    <t>Measures taken</t>
  </si>
  <si>
    <t>Detail</t>
  </si>
  <si>
    <t>At usage of SAC and DSP</t>
  </si>
  <si>
    <t>Unknown tools</t>
  </si>
  <si>
    <t>Occured, Yes/No</t>
  </si>
  <si>
    <t>No</t>
  </si>
  <si>
    <t>Yes</t>
  </si>
  <si>
    <t>Reviewing takes time</t>
  </si>
  <si>
    <t>Team Members, PO in team</t>
  </si>
  <si>
    <t>Efforts and Incidents</t>
  </si>
  <si>
    <t>retaken 2 classes</t>
  </si>
  <si>
    <t>less than 50% of ecpected time available for study project</t>
  </si>
  <si>
    <t>Asked team for help, recieved help</t>
  </si>
  <si>
    <t>Split of time</t>
  </si>
  <si>
    <t>None</t>
  </si>
  <si>
    <t>Learning on some evenings</t>
  </si>
  <si>
    <t>Reality</t>
  </si>
  <si>
    <t>Postponing working on things</t>
  </si>
  <si>
    <t>Measure date</t>
  </si>
  <si>
    <t>Events which can not be influenced are very rare and very disruptive</t>
  </si>
  <si>
    <t>General Force majeure</t>
  </si>
  <si>
    <t>General force majeure</t>
  </si>
  <si>
    <t>11, 14</t>
  </si>
  <si>
    <t>15, 17, 19</t>
  </si>
  <si>
    <t>Issues at understanding pySpark code</t>
  </si>
  <si>
    <t>Unknown programming language</t>
  </si>
  <si>
    <t>Asked DQM team fo review of code. Discussed next steps</t>
  </si>
  <si>
    <t>Expected to implement one automation PoC in Project 1</t>
  </si>
  <si>
    <t>Efforts required to restructure checks and implement environment, using pySpark needs more time</t>
  </si>
  <si>
    <t>Moved implementation of code to Project 2, confirmed in Jour Fixe with Advisor</t>
  </si>
  <si>
    <t>Workload better</t>
  </si>
  <si>
    <t>First half since November more efforts still required, then able to swap and use more time for project 1</t>
  </si>
  <si>
    <t>Focus first on work projects then study related</t>
  </si>
  <si>
    <t>Unknown Process</t>
  </si>
  <si>
    <t>The process and requirements to get a MSE agreement for project work was not known. Resulted in many meetings between project team and BFH and Swiss Post</t>
  </si>
  <si>
    <t>Knowledge of handling not available. Conflicting information such as not required 1'500 CHF passed.</t>
  </si>
  <si>
    <t>Document the part in project document separately if time allows</t>
  </si>
  <si>
    <t>Latex usage to change document structure</t>
  </si>
  <si>
    <t>In December much more work on the project was possible, no incidents</t>
  </si>
  <si>
    <t>Full focus on new topics</t>
  </si>
  <si>
    <t>No time invested</t>
  </si>
  <si>
    <t>Focus on this project</t>
  </si>
  <si>
    <t>Efforts for writing estimated lower, over 90 hours in holidays</t>
  </si>
  <si>
    <t>Efforts to create new chapters was high, one chapter had to be rewritten</t>
  </si>
  <si>
    <t>Removed some old chapter structure, finishing on weekend 10.01.2025</t>
  </si>
  <si>
    <t>Some parts of the used bfh template had to be changed, some were changed due to amendments with tables etc. added and needed fixes</t>
  </si>
  <si>
    <t>used chatgpt for review and changes</t>
  </si>
  <si>
    <t>Now time to finish</t>
  </si>
  <si>
    <t>Work hard, some time off taken to work on projects</t>
  </si>
  <si>
    <t>Have to print the agreement and sign by Swiss Post</t>
  </si>
  <si>
    <t>Agreement needs signature before handin</t>
  </si>
  <si>
    <t>Has to be handled by author</t>
  </si>
  <si>
    <t>Finally after a lot of back and forth the invoice was handled trough sending it via post mail</t>
  </si>
  <si>
    <t>BFH could not sign the new Terms of Post</t>
  </si>
  <si>
    <t>Next invoice to be sent by mail directly</t>
  </si>
  <si>
    <t>Efforts for writing were not commitable before holiday</t>
  </si>
  <si>
    <t>Took to much time in relation to needed cool down times</t>
  </si>
  <si>
    <t>Moved writing partially to holiday</t>
  </si>
  <si>
    <t>Working hard during beach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</si>
</sst>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4" borderId="0" xfId="0" applyFont="1" applyFill="1" applyAlignment="1">
      <alignment horizontal="center" vertical="center"/>
    </xf>
    <xf numFmtId="0" fontId="0" fillId="5" borderId="1" xfId="0" applyFill="1" applyBorder="1"/>
    <xf numFmtId="0" fontId="6" fillId="5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14" fontId="0" fillId="3" borderId="0" xfId="0" applyNumberFormat="1" applyFill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  <xf numFmtId="0" fontId="0" fillId="5" borderId="2" xfId="0" applyFill="1" applyBorder="1"/>
    <xf numFmtId="0" fontId="0" fillId="3" borderId="2" xfId="0" applyFill="1" applyBorder="1" applyAlignment="1">
      <alignment vertical="center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textRotation="90"/>
    </xf>
  </cellXfs>
  <cellStyles count="2">
    <cellStyle name="Link" xfId="1" builtinId="8"/>
    <cellStyle name="Standard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207.07048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D59E-CB39-4796-8337-DC3378375924}">
  <sheetPr filterMode="1"/>
  <dimension ref="A1:D106"/>
  <sheetViews>
    <sheetView workbookViewId="0">
      <selection activeCell="C106" sqref="A5:C106"/>
    </sheetView>
  </sheetViews>
  <sheetFormatPr baseColWidth="10" defaultRowHeight="14.4" x14ac:dyDescent="0.55000000000000004"/>
  <cols>
    <col min="2" max="2" width="30" customWidth="1"/>
    <col min="3" max="3" width="42.26171875" customWidth="1"/>
    <col min="4" max="4" width="33.7890625" customWidth="1"/>
  </cols>
  <sheetData>
    <row r="1" spans="1:4" ht="23.7" x14ac:dyDescent="0.55000000000000004">
      <c r="A1" s="1" t="s">
        <v>0</v>
      </c>
    </row>
    <row r="2" spans="1:4" hidden="1" x14ac:dyDescent="0.55000000000000004"/>
    <row r="3" spans="1:4" hidden="1" x14ac:dyDescent="0.55000000000000004">
      <c r="A3" s="2" t="s">
        <v>1</v>
      </c>
      <c r="B3" s="2" t="s">
        <v>2</v>
      </c>
      <c r="C3" s="2" t="s">
        <v>3</v>
      </c>
      <c r="D3" s="2" t="s">
        <v>4</v>
      </c>
    </row>
    <row r="4" spans="1:4" ht="28.8" hidden="1" x14ac:dyDescent="0.55000000000000004">
      <c r="A4" s="2" t="s">
        <v>5</v>
      </c>
      <c r="B4" s="3" t="s">
        <v>6</v>
      </c>
      <c r="C4" s="3" t="s">
        <v>7</v>
      </c>
      <c r="D4" s="3" t="s">
        <v>8</v>
      </c>
    </row>
    <row r="5" spans="1:4" s="8" customFormat="1" ht="43.2" x14ac:dyDescent="0.55000000000000004">
      <c r="A5" s="9" t="s">
        <v>5</v>
      </c>
      <c r="B5" s="7" t="s">
        <v>9</v>
      </c>
      <c r="C5" s="7" t="s">
        <v>10</v>
      </c>
      <c r="D5" s="7" t="s">
        <v>11</v>
      </c>
    </row>
    <row r="6" spans="1:4" ht="57.6" hidden="1" x14ac:dyDescent="0.55000000000000004">
      <c r="A6" s="3"/>
      <c r="B6" s="3" t="s">
        <v>12</v>
      </c>
      <c r="C6" s="3" t="s">
        <v>13</v>
      </c>
      <c r="D6" s="5" t="s">
        <v>14</v>
      </c>
    </row>
    <row r="7" spans="1:4" s="8" customFormat="1" ht="43.2" x14ac:dyDescent="0.55000000000000004">
      <c r="A7" s="9" t="s">
        <v>5</v>
      </c>
      <c r="B7" s="7" t="s">
        <v>15</v>
      </c>
      <c r="C7" s="7" t="s">
        <v>16</v>
      </c>
      <c r="D7" s="7" t="s">
        <v>17</v>
      </c>
    </row>
    <row r="8" spans="1:4" s="8" customFormat="1" ht="43.2" x14ac:dyDescent="0.55000000000000004">
      <c r="A8" s="9" t="s">
        <v>5</v>
      </c>
      <c r="B8" s="7" t="s">
        <v>18</v>
      </c>
      <c r="C8" s="7" t="s">
        <v>19</v>
      </c>
      <c r="D8" s="7" t="s">
        <v>20</v>
      </c>
    </row>
    <row r="9" spans="1:4" s="8" customFormat="1" ht="28.8" x14ac:dyDescent="0.55000000000000004">
      <c r="A9" s="9" t="s">
        <v>5</v>
      </c>
      <c r="B9" s="7" t="s">
        <v>21</v>
      </c>
      <c r="C9" s="7" t="s">
        <v>22</v>
      </c>
      <c r="D9" s="7" t="s">
        <v>23</v>
      </c>
    </row>
    <row r="10" spans="1:4" ht="43.2" hidden="1" x14ac:dyDescent="0.55000000000000004">
      <c r="A10" s="4" t="s">
        <v>24</v>
      </c>
      <c r="B10" s="3" t="s">
        <v>25</v>
      </c>
      <c r="C10" s="3" t="s">
        <v>26</v>
      </c>
      <c r="D10" s="3" t="s">
        <v>27</v>
      </c>
    </row>
    <row r="11" spans="1:4" s="8" customFormat="1" ht="43.2" x14ac:dyDescent="0.55000000000000004">
      <c r="A11" s="9" t="s">
        <v>5</v>
      </c>
      <c r="B11" s="7" t="s">
        <v>28</v>
      </c>
      <c r="C11" s="7" t="s">
        <v>29</v>
      </c>
      <c r="D11" s="7" t="s">
        <v>30</v>
      </c>
    </row>
    <row r="12" spans="1:4" ht="43.2" hidden="1" x14ac:dyDescent="0.55000000000000004">
      <c r="A12" s="3"/>
      <c r="B12" s="3" t="s">
        <v>31</v>
      </c>
      <c r="C12" s="3" t="s">
        <v>32</v>
      </c>
      <c r="D12" s="3" t="s">
        <v>33</v>
      </c>
    </row>
    <row r="13" spans="1:4" s="8" customFormat="1" ht="43.2" x14ac:dyDescent="0.55000000000000004">
      <c r="A13" s="9" t="s">
        <v>5</v>
      </c>
      <c r="B13" s="7" t="s">
        <v>34</v>
      </c>
      <c r="C13" s="7" t="s">
        <v>35</v>
      </c>
      <c r="D13" s="7" t="s">
        <v>36</v>
      </c>
    </row>
    <row r="14" spans="1:4" s="8" customFormat="1" ht="28.8" x14ac:dyDescent="0.55000000000000004">
      <c r="A14" s="9" t="s">
        <v>37</v>
      </c>
      <c r="B14" s="7" t="s">
        <v>38</v>
      </c>
      <c r="C14" s="7" t="s">
        <v>39</v>
      </c>
      <c r="D14" s="7" t="s">
        <v>40</v>
      </c>
    </row>
    <row r="15" spans="1:4" s="8" customFormat="1" ht="28.8" x14ac:dyDescent="0.55000000000000004">
      <c r="A15" s="7"/>
      <c r="B15" s="7" t="s">
        <v>41</v>
      </c>
      <c r="C15" s="7" t="s">
        <v>42</v>
      </c>
      <c r="D15" s="7" t="s">
        <v>43</v>
      </c>
    </row>
    <row r="16" spans="1:4" ht="28.8" hidden="1" x14ac:dyDescent="0.55000000000000004">
      <c r="A16" s="3"/>
      <c r="B16" s="3" t="s">
        <v>44</v>
      </c>
      <c r="C16" s="3" t="s">
        <v>45</v>
      </c>
      <c r="D16" s="3" t="s">
        <v>46</v>
      </c>
    </row>
    <row r="17" spans="1:4" s="8" customFormat="1" ht="43.2" x14ac:dyDescent="0.55000000000000004">
      <c r="A17" s="9" t="s">
        <v>47</v>
      </c>
      <c r="B17" s="7" t="s">
        <v>48</v>
      </c>
      <c r="C17" s="7" t="s">
        <v>49</v>
      </c>
      <c r="D17" s="7" t="s">
        <v>50</v>
      </c>
    </row>
    <row r="18" spans="1:4" s="8" customFormat="1" ht="28.8" x14ac:dyDescent="0.55000000000000004">
      <c r="A18" s="7"/>
      <c r="B18" s="7" t="s">
        <v>51</v>
      </c>
      <c r="C18" s="7" t="s">
        <v>52</v>
      </c>
      <c r="D18" s="7" t="s">
        <v>53</v>
      </c>
    </row>
    <row r="19" spans="1:4" ht="43.2" hidden="1" x14ac:dyDescent="0.55000000000000004">
      <c r="A19" s="4" t="s">
        <v>54</v>
      </c>
      <c r="B19" s="3" t="s">
        <v>55</v>
      </c>
      <c r="C19" s="3" t="s">
        <v>56</v>
      </c>
      <c r="D19" s="3" t="s">
        <v>57</v>
      </c>
    </row>
    <row r="20" spans="1:4" ht="28.8" hidden="1" x14ac:dyDescent="0.55000000000000004">
      <c r="A20" s="3"/>
      <c r="B20" s="3" t="s">
        <v>58</v>
      </c>
      <c r="C20" s="3" t="s">
        <v>59</v>
      </c>
      <c r="D20" s="3" t="s">
        <v>60</v>
      </c>
    </row>
    <row r="21" spans="1:4" s="8" customFormat="1" ht="28.8" x14ac:dyDescent="0.55000000000000004">
      <c r="A21" s="7"/>
      <c r="B21" s="7" t="s">
        <v>61</v>
      </c>
      <c r="C21" s="7" t="s">
        <v>62</v>
      </c>
      <c r="D21" s="7" t="s">
        <v>63</v>
      </c>
    </row>
    <row r="22" spans="1:4" s="8" customFormat="1" ht="28.8" x14ac:dyDescent="0.55000000000000004">
      <c r="A22" s="9" t="s">
        <v>64</v>
      </c>
      <c r="B22" s="7" t="s">
        <v>65</v>
      </c>
      <c r="C22" s="7" t="s">
        <v>66</v>
      </c>
      <c r="D22" s="7" t="s">
        <v>67</v>
      </c>
    </row>
    <row r="23" spans="1:4" s="8" customFormat="1" ht="28.8" x14ac:dyDescent="0.55000000000000004">
      <c r="A23" s="7"/>
      <c r="B23" s="7" t="s">
        <v>68</v>
      </c>
      <c r="C23" s="7" t="s">
        <v>69</v>
      </c>
      <c r="D23" s="7" t="s">
        <v>70</v>
      </c>
    </row>
    <row r="24" spans="1:4" s="8" customFormat="1" ht="43.2" x14ac:dyDescent="0.55000000000000004">
      <c r="A24" s="9" t="s">
        <v>71</v>
      </c>
      <c r="B24" s="7" t="s">
        <v>72</v>
      </c>
      <c r="C24" s="7" t="s">
        <v>73</v>
      </c>
      <c r="D24" s="7" t="s">
        <v>74</v>
      </c>
    </row>
    <row r="25" spans="1:4" s="8" customFormat="1" ht="28.8" x14ac:dyDescent="0.55000000000000004">
      <c r="A25" s="7"/>
      <c r="B25" s="7" t="s">
        <v>75</v>
      </c>
      <c r="C25" s="7" t="s">
        <v>76</v>
      </c>
      <c r="D25" s="7" t="s">
        <v>77</v>
      </c>
    </row>
    <row r="26" spans="1:4" s="8" customFormat="1" ht="28.8" x14ac:dyDescent="0.55000000000000004">
      <c r="A26" s="7"/>
      <c r="B26" s="7" t="s">
        <v>78</v>
      </c>
      <c r="C26" s="7" t="s">
        <v>79</v>
      </c>
      <c r="D26" s="7" t="s">
        <v>80</v>
      </c>
    </row>
    <row r="27" spans="1:4" ht="28.8" hidden="1" x14ac:dyDescent="0.55000000000000004">
      <c r="A27" s="4" t="s">
        <v>81</v>
      </c>
      <c r="B27" s="3" t="s">
        <v>82</v>
      </c>
      <c r="C27" s="3" t="s">
        <v>83</v>
      </c>
      <c r="D27" s="3" t="s">
        <v>84</v>
      </c>
    </row>
    <row r="28" spans="1:4" ht="28.8" hidden="1" x14ac:dyDescent="0.55000000000000004">
      <c r="A28" s="3"/>
      <c r="B28" s="3" t="s">
        <v>85</v>
      </c>
      <c r="C28" s="3" t="s">
        <v>86</v>
      </c>
      <c r="D28" s="3" t="s">
        <v>87</v>
      </c>
    </row>
    <row r="29" spans="1:4" hidden="1" x14ac:dyDescent="0.55000000000000004"/>
    <row r="30" spans="1:4" ht="31.5" hidden="1" x14ac:dyDescent="0.55000000000000004">
      <c r="A30" s="6" t="s">
        <v>88</v>
      </c>
    </row>
    <row r="31" spans="1:4" hidden="1" x14ac:dyDescent="0.55000000000000004"/>
    <row r="32" spans="1:4" hidden="1" x14ac:dyDescent="0.55000000000000004"/>
    <row r="33" spans="1:4" hidden="1" x14ac:dyDescent="0.55000000000000004"/>
    <row r="34" spans="1:4" s="8" customFormat="1" ht="23.7" x14ac:dyDescent="0.55000000000000004">
      <c r="A34" s="10" t="s">
        <v>89</v>
      </c>
    </row>
    <row r="35" spans="1:4" hidden="1" x14ac:dyDescent="0.55000000000000004"/>
    <row r="36" spans="1:4" hidden="1" x14ac:dyDescent="0.55000000000000004">
      <c r="A36" s="2" t="s">
        <v>90</v>
      </c>
      <c r="B36" s="2" t="s">
        <v>91</v>
      </c>
      <c r="C36" s="2" t="s">
        <v>92</v>
      </c>
      <c r="D36" s="2" t="s">
        <v>93</v>
      </c>
    </row>
    <row r="37" spans="1:4" s="8" customFormat="1" ht="72" x14ac:dyDescent="0.55000000000000004">
      <c r="A37" s="9" t="s">
        <v>94</v>
      </c>
      <c r="B37" s="7" t="s">
        <v>95</v>
      </c>
      <c r="C37" s="7" t="s">
        <v>96</v>
      </c>
      <c r="D37" s="7" t="s">
        <v>97</v>
      </c>
    </row>
    <row r="38" spans="1:4" ht="43.2" hidden="1" x14ac:dyDescent="0.55000000000000004">
      <c r="A38" s="4" t="s">
        <v>98</v>
      </c>
      <c r="B38" s="3" t="s">
        <v>99</v>
      </c>
      <c r="C38" s="3" t="s">
        <v>100</v>
      </c>
      <c r="D38" s="3" t="s">
        <v>101</v>
      </c>
    </row>
    <row r="39" spans="1:4" s="8" customFormat="1" ht="57.6" x14ac:dyDescent="0.55000000000000004">
      <c r="A39" s="9" t="s">
        <v>102</v>
      </c>
      <c r="B39" s="7" t="s">
        <v>103</v>
      </c>
      <c r="C39" s="7" t="s">
        <v>104</v>
      </c>
      <c r="D39" s="7" t="s">
        <v>105</v>
      </c>
    </row>
    <row r="40" spans="1:4" hidden="1" x14ac:dyDescent="0.55000000000000004"/>
    <row r="41" spans="1:4" hidden="1" x14ac:dyDescent="0.55000000000000004"/>
    <row r="42" spans="1:4" s="8" customFormat="1" ht="23.7" x14ac:dyDescent="0.55000000000000004">
      <c r="A42" s="10" t="s">
        <v>106</v>
      </c>
    </row>
    <row r="43" spans="1:4" hidden="1" x14ac:dyDescent="0.55000000000000004"/>
    <row r="44" spans="1:4" hidden="1" x14ac:dyDescent="0.55000000000000004">
      <c r="A44" s="2" t="s">
        <v>90</v>
      </c>
      <c r="B44" s="2" t="s">
        <v>91</v>
      </c>
      <c r="C44" s="2" t="s">
        <v>92</v>
      </c>
      <c r="D44" s="2" t="s">
        <v>107</v>
      </c>
    </row>
    <row r="45" spans="1:4" s="8" customFormat="1" ht="43.2" x14ac:dyDescent="0.55000000000000004">
      <c r="A45" s="9" t="s">
        <v>108</v>
      </c>
      <c r="B45" s="7" t="s">
        <v>109</v>
      </c>
      <c r="C45" s="7" t="s">
        <v>110</v>
      </c>
      <c r="D45" s="7" t="s">
        <v>111</v>
      </c>
    </row>
    <row r="46" spans="1:4" s="8" customFormat="1" ht="57.6" x14ac:dyDescent="0.55000000000000004">
      <c r="A46" s="9" t="s">
        <v>112</v>
      </c>
      <c r="B46" s="7" t="s">
        <v>113</v>
      </c>
      <c r="C46" s="7" t="s">
        <v>114</v>
      </c>
      <c r="D46" s="7" t="s">
        <v>115</v>
      </c>
    </row>
    <row r="47" spans="1:4" s="8" customFormat="1" ht="57.6" x14ac:dyDescent="0.55000000000000004">
      <c r="A47" s="9" t="s">
        <v>116</v>
      </c>
      <c r="B47" s="7" t="s">
        <v>117</v>
      </c>
      <c r="C47" s="7" t="s">
        <v>118</v>
      </c>
      <c r="D47" s="7" t="s">
        <v>119</v>
      </c>
    </row>
    <row r="48" spans="1:4" hidden="1" x14ac:dyDescent="0.55000000000000004"/>
    <row r="49" spans="1:4" hidden="1" x14ac:dyDescent="0.55000000000000004"/>
    <row r="50" spans="1:4" s="8" customFormat="1" ht="23.7" x14ac:dyDescent="0.55000000000000004">
      <c r="A50" s="10" t="s">
        <v>120</v>
      </c>
    </row>
    <row r="51" spans="1:4" hidden="1" x14ac:dyDescent="0.55000000000000004"/>
    <row r="52" spans="1:4" hidden="1" x14ac:dyDescent="0.55000000000000004">
      <c r="A52" s="2" t="s">
        <v>90</v>
      </c>
      <c r="B52" s="2" t="s">
        <v>91</v>
      </c>
      <c r="C52" s="2" t="s">
        <v>92</v>
      </c>
      <c r="D52" s="2" t="s">
        <v>107</v>
      </c>
    </row>
    <row r="53" spans="1:4" s="8" customFormat="1" ht="72" x14ac:dyDescent="0.55000000000000004">
      <c r="A53" s="9" t="s">
        <v>121</v>
      </c>
      <c r="B53" s="7" t="s">
        <v>122</v>
      </c>
      <c r="C53" s="7" t="s">
        <v>123</v>
      </c>
      <c r="D53" s="7" t="s">
        <v>124</v>
      </c>
    </row>
    <row r="54" spans="1:4" s="8" customFormat="1" ht="57.6" x14ac:dyDescent="0.55000000000000004">
      <c r="A54" s="9" t="s">
        <v>125</v>
      </c>
      <c r="B54" s="7" t="s">
        <v>126</v>
      </c>
      <c r="C54" s="7" t="s">
        <v>127</v>
      </c>
      <c r="D54" s="7" t="s">
        <v>128</v>
      </c>
    </row>
    <row r="55" spans="1:4" ht="57.6" hidden="1" x14ac:dyDescent="0.55000000000000004">
      <c r="A55" s="4" t="s">
        <v>129</v>
      </c>
      <c r="B55" s="3" t="s">
        <v>130</v>
      </c>
      <c r="C55" s="3" t="s">
        <v>131</v>
      </c>
      <c r="D55" s="3" t="s">
        <v>132</v>
      </c>
    </row>
    <row r="56" spans="1:4" hidden="1" x14ac:dyDescent="0.55000000000000004"/>
    <row r="57" spans="1:4" hidden="1" x14ac:dyDescent="0.55000000000000004"/>
    <row r="58" spans="1:4" s="8" customFormat="1" ht="23.7" x14ac:dyDescent="0.55000000000000004">
      <c r="A58" s="10" t="s">
        <v>133</v>
      </c>
    </row>
    <row r="59" spans="1:4" hidden="1" x14ac:dyDescent="0.55000000000000004"/>
    <row r="60" spans="1:4" hidden="1" x14ac:dyDescent="0.55000000000000004">
      <c r="A60" s="2" t="s">
        <v>90</v>
      </c>
      <c r="B60" s="2" t="s">
        <v>91</v>
      </c>
      <c r="C60" s="2" t="s">
        <v>92</v>
      </c>
      <c r="D60" s="2" t="s">
        <v>107</v>
      </c>
    </row>
    <row r="61" spans="1:4" s="8" customFormat="1" ht="57.6" x14ac:dyDescent="0.55000000000000004">
      <c r="A61" s="9" t="s">
        <v>134</v>
      </c>
      <c r="B61" s="7" t="s">
        <v>135</v>
      </c>
      <c r="C61" s="7" t="s">
        <v>136</v>
      </c>
      <c r="D61" s="7" t="s">
        <v>137</v>
      </c>
    </row>
    <row r="62" spans="1:4" s="8" customFormat="1" ht="57.6" x14ac:dyDescent="0.55000000000000004">
      <c r="A62" s="9" t="s">
        <v>138</v>
      </c>
      <c r="B62" s="7" t="s">
        <v>139</v>
      </c>
      <c r="C62" s="7" t="s">
        <v>140</v>
      </c>
      <c r="D62" s="7" t="s">
        <v>141</v>
      </c>
    </row>
    <row r="63" spans="1:4" s="8" customFormat="1" ht="57.6" x14ac:dyDescent="0.55000000000000004">
      <c r="A63" s="9" t="s">
        <v>142</v>
      </c>
      <c r="B63" s="7" t="s">
        <v>143</v>
      </c>
      <c r="C63" s="7" t="s">
        <v>144</v>
      </c>
      <c r="D63" s="7" t="s">
        <v>145</v>
      </c>
    </row>
    <row r="64" spans="1:4" ht="43.2" hidden="1" x14ac:dyDescent="0.55000000000000004">
      <c r="A64" s="4" t="s">
        <v>146</v>
      </c>
      <c r="B64" s="3" t="s">
        <v>147</v>
      </c>
      <c r="C64" s="3" t="s">
        <v>148</v>
      </c>
      <c r="D64" s="3" t="s">
        <v>149</v>
      </c>
    </row>
    <row r="65" spans="1:4" hidden="1" x14ac:dyDescent="0.55000000000000004"/>
    <row r="66" spans="1:4" hidden="1" x14ac:dyDescent="0.55000000000000004"/>
    <row r="67" spans="1:4" s="8" customFormat="1" ht="23.7" x14ac:dyDescent="0.55000000000000004">
      <c r="A67" s="10" t="s">
        <v>150</v>
      </c>
    </row>
    <row r="68" spans="1:4" hidden="1" x14ac:dyDescent="0.55000000000000004"/>
    <row r="69" spans="1:4" hidden="1" x14ac:dyDescent="0.55000000000000004">
      <c r="A69" s="2" t="s">
        <v>90</v>
      </c>
      <c r="B69" s="2" t="s">
        <v>91</v>
      </c>
      <c r="C69" s="2" t="s">
        <v>92</v>
      </c>
      <c r="D69" s="2" t="s">
        <v>107</v>
      </c>
    </row>
    <row r="70" spans="1:4" ht="57.6" hidden="1" x14ac:dyDescent="0.55000000000000004">
      <c r="A70" s="4" t="s">
        <v>151</v>
      </c>
      <c r="B70" s="3" t="s">
        <v>152</v>
      </c>
      <c r="C70" s="3" t="s">
        <v>153</v>
      </c>
      <c r="D70" s="3" t="s">
        <v>154</v>
      </c>
    </row>
    <row r="71" spans="1:4" s="8" customFormat="1" ht="57.6" x14ac:dyDescent="0.55000000000000004">
      <c r="A71" s="9" t="s">
        <v>155</v>
      </c>
      <c r="B71" s="7" t="s">
        <v>156</v>
      </c>
      <c r="C71" s="7" t="s">
        <v>157</v>
      </c>
      <c r="D71" s="7" t="s">
        <v>158</v>
      </c>
    </row>
    <row r="72" spans="1:4" s="8" customFormat="1" ht="72" x14ac:dyDescent="0.55000000000000004">
      <c r="A72" s="9" t="s">
        <v>159</v>
      </c>
      <c r="B72" s="7" t="s">
        <v>160</v>
      </c>
      <c r="C72" s="7" t="s">
        <v>161</v>
      </c>
      <c r="D72" s="7" t="s">
        <v>162</v>
      </c>
    </row>
    <row r="73" spans="1:4" ht="57.6" hidden="1" x14ac:dyDescent="0.55000000000000004">
      <c r="A73" s="4" t="s">
        <v>163</v>
      </c>
      <c r="B73" s="3" t="s">
        <v>164</v>
      </c>
      <c r="C73" s="3" t="s">
        <v>165</v>
      </c>
      <c r="D73" s="3" t="s">
        <v>166</v>
      </c>
    </row>
    <row r="74" spans="1:4" hidden="1" x14ac:dyDescent="0.55000000000000004"/>
    <row r="75" spans="1:4" hidden="1" x14ac:dyDescent="0.55000000000000004"/>
    <row r="76" spans="1:4" s="8" customFormat="1" ht="23.7" x14ac:dyDescent="0.55000000000000004">
      <c r="A76" s="10" t="s">
        <v>167</v>
      </c>
    </row>
    <row r="77" spans="1:4" hidden="1" x14ac:dyDescent="0.55000000000000004"/>
    <row r="78" spans="1:4" hidden="1" x14ac:dyDescent="0.55000000000000004">
      <c r="A78" s="2" t="s">
        <v>90</v>
      </c>
      <c r="B78" s="2" t="s">
        <v>91</v>
      </c>
      <c r="C78" s="2" t="s">
        <v>92</v>
      </c>
      <c r="D78" s="2" t="s">
        <v>107</v>
      </c>
    </row>
    <row r="79" spans="1:4" s="8" customFormat="1" ht="57.6" x14ac:dyDescent="0.55000000000000004">
      <c r="A79" s="9" t="s">
        <v>168</v>
      </c>
      <c r="B79" s="7" t="s">
        <v>169</v>
      </c>
      <c r="C79" s="7" t="s">
        <v>170</v>
      </c>
      <c r="D79" s="7" t="s">
        <v>171</v>
      </c>
    </row>
    <row r="80" spans="1:4" s="8" customFormat="1" ht="43.2" x14ac:dyDescent="0.55000000000000004">
      <c r="A80" s="9" t="s">
        <v>172</v>
      </c>
      <c r="B80" s="7" t="s">
        <v>173</v>
      </c>
      <c r="C80" s="7" t="s">
        <v>174</v>
      </c>
      <c r="D80" s="7" t="s">
        <v>175</v>
      </c>
    </row>
    <row r="81" spans="1:4" s="8" customFormat="1" ht="28.8" x14ac:dyDescent="0.55000000000000004">
      <c r="A81" s="9" t="s">
        <v>176</v>
      </c>
      <c r="B81" s="7" t="s">
        <v>177</v>
      </c>
      <c r="C81" s="7" t="s">
        <v>178</v>
      </c>
      <c r="D81" s="7" t="s">
        <v>179</v>
      </c>
    </row>
    <row r="82" spans="1:4" s="8" customFormat="1" ht="57.6" x14ac:dyDescent="0.55000000000000004">
      <c r="A82" s="9" t="s">
        <v>180</v>
      </c>
      <c r="B82" s="7" t="s">
        <v>181</v>
      </c>
      <c r="C82" s="7" t="s">
        <v>182</v>
      </c>
      <c r="D82" s="7" t="s">
        <v>183</v>
      </c>
    </row>
    <row r="83" spans="1:4" hidden="1" x14ac:dyDescent="0.55000000000000004"/>
    <row r="84" spans="1:4" hidden="1" x14ac:dyDescent="0.55000000000000004"/>
    <row r="85" spans="1:4" s="8" customFormat="1" ht="23.7" x14ac:dyDescent="0.55000000000000004">
      <c r="A85" s="10" t="s">
        <v>184</v>
      </c>
    </row>
    <row r="86" spans="1:4" hidden="1" x14ac:dyDescent="0.55000000000000004"/>
    <row r="87" spans="1:4" hidden="1" x14ac:dyDescent="0.55000000000000004">
      <c r="A87" s="2" t="s">
        <v>90</v>
      </c>
      <c r="B87" s="2" t="s">
        <v>91</v>
      </c>
      <c r="C87" s="2" t="s">
        <v>92</v>
      </c>
      <c r="D87" s="2" t="s">
        <v>107</v>
      </c>
    </row>
    <row r="88" spans="1:4" s="8" customFormat="1" ht="86.4" x14ac:dyDescent="0.55000000000000004">
      <c r="A88" s="9" t="s">
        <v>185</v>
      </c>
      <c r="B88" s="7" t="s">
        <v>186</v>
      </c>
      <c r="C88" s="7" t="s">
        <v>187</v>
      </c>
      <c r="D88" s="7" t="s">
        <v>188</v>
      </c>
    </row>
    <row r="89" spans="1:4" s="8" customFormat="1" ht="72" x14ac:dyDescent="0.55000000000000004">
      <c r="A89" s="9" t="s">
        <v>189</v>
      </c>
      <c r="B89" s="7" t="s">
        <v>190</v>
      </c>
      <c r="C89" s="7" t="s">
        <v>191</v>
      </c>
      <c r="D89" s="7" t="s">
        <v>192</v>
      </c>
    </row>
    <row r="90" spans="1:4" s="8" customFormat="1" ht="28.8" x14ac:dyDescent="0.55000000000000004">
      <c r="A90" s="9" t="s">
        <v>193</v>
      </c>
      <c r="B90" s="7" t="s">
        <v>194</v>
      </c>
      <c r="C90" s="7" t="s">
        <v>195</v>
      </c>
      <c r="D90" s="7" t="s">
        <v>196</v>
      </c>
    </row>
    <row r="91" spans="1:4" hidden="1" x14ac:dyDescent="0.55000000000000004"/>
    <row r="92" spans="1:4" hidden="1" x14ac:dyDescent="0.55000000000000004"/>
    <row r="93" spans="1:4" s="8" customFormat="1" ht="23.7" x14ac:dyDescent="0.55000000000000004">
      <c r="A93" s="10" t="s">
        <v>197</v>
      </c>
    </row>
    <row r="94" spans="1:4" hidden="1" x14ac:dyDescent="0.55000000000000004"/>
    <row r="95" spans="1:4" hidden="1" x14ac:dyDescent="0.55000000000000004">
      <c r="A95" s="2" t="s">
        <v>90</v>
      </c>
      <c r="B95" s="2" t="s">
        <v>91</v>
      </c>
      <c r="C95" s="2" t="s">
        <v>92</v>
      </c>
      <c r="D95" s="2" t="s">
        <v>107</v>
      </c>
    </row>
    <row r="96" spans="1:4" s="8" customFormat="1" ht="57.6" x14ac:dyDescent="0.55000000000000004">
      <c r="A96" s="9" t="s">
        <v>198</v>
      </c>
      <c r="B96" s="7" t="s">
        <v>199</v>
      </c>
      <c r="C96" s="7" t="s">
        <v>200</v>
      </c>
      <c r="D96" s="7" t="s">
        <v>201</v>
      </c>
    </row>
    <row r="97" spans="1:4" ht="43.2" hidden="1" x14ac:dyDescent="0.55000000000000004">
      <c r="A97" s="4" t="s">
        <v>202</v>
      </c>
      <c r="B97" s="3" t="s">
        <v>203</v>
      </c>
      <c r="C97" s="3" t="s">
        <v>204</v>
      </c>
      <c r="D97" s="3" t="s">
        <v>205</v>
      </c>
    </row>
    <row r="98" spans="1:4" s="8" customFormat="1" ht="57.6" x14ac:dyDescent="0.55000000000000004">
      <c r="A98" s="9" t="s">
        <v>206</v>
      </c>
      <c r="B98" s="7" t="s">
        <v>207</v>
      </c>
      <c r="C98" s="7" t="s">
        <v>208</v>
      </c>
      <c r="D98" s="7" t="s">
        <v>209</v>
      </c>
    </row>
    <row r="99" spans="1:4" hidden="1" x14ac:dyDescent="0.55000000000000004"/>
    <row r="100" spans="1:4" hidden="1" x14ac:dyDescent="0.55000000000000004"/>
    <row r="101" spans="1:4" s="8" customFormat="1" ht="23.7" x14ac:dyDescent="0.55000000000000004">
      <c r="A101" s="10" t="s">
        <v>210</v>
      </c>
    </row>
    <row r="102" spans="1:4" hidden="1" x14ac:dyDescent="0.55000000000000004"/>
    <row r="103" spans="1:4" hidden="1" x14ac:dyDescent="0.55000000000000004">
      <c r="A103" s="2" t="s">
        <v>90</v>
      </c>
      <c r="B103" s="2" t="s">
        <v>91</v>
      </c>
      <c r="C103" s="2" t="s">
        <v>92</v>
      </c>
      <c r="D103" s="2" t="s">
        <v>107</v>
      </c>
    </row>
    <row r="104" spans="1:4" s="8" customFormat="1" ht="57.6" x14ac:dyDescent="0.55000000000000004">
      <c r="A104" s="9" t="s">
        <v>211</v>
      </c>
      <c r="B104" s="7" t="s">
        <v>212</v>
      </c>
      <c r="C104" s="7" t="s">
        <v>213</v>
      </c>
      <c r="D104" s="7" t="s">
        <v>214</v>
      </c>
    </row>
    <row r="105" spans="1:4" s="8" customFormat="1" ht="72" x14ac:dyDescent="0.55000000000000004">
      <c r="A105" s="9" t="s">
        <v>215</v>
      </c>
      <c r="B105" s="7" t="s">
        <v>216</v>
      </c>
      <c r="C105" s="7" t="s">
        <v>217</v>
      </c>
      <c r="D105" s="7" t="s">
        <v>218</v>
      </c>
    </row>
    <row r="106" spans="1:4" s="8" customFormat="1" ht="57.6" x14ac:dyDescent="0.55000000000000004">
      <c r="A106" s="9" t="s">
        <v>219</v>
      </c>
      <c r="B106" s="7" t="s">
        <v>220</v>
      </c>
      <c r="C106" s="7" t="s">
        <v>221</v>
      </c>
      <c r="D106" s="7" t="s">
        <v>222</v>
      </c>
    </row>
  </sheetData>
  <autoFilter ref="A1:A106" xr:uid="{E1CAD59E-CB39-4796-8337-DC3378375924}">
    <filterColumn colId="0">
      <colorFilter dxfId="1"/>
    </filterColumn>
  </autoFilter>
  <hyperlinks>
    <hyperlink ref="D6" r:id="rId1" display="https://arxiv.org/abs/2207.07048?utm_source=chatgpt.com" xr:uid="{0B5CBA5F-4A20-43A5-AC9A-CFD092DFB1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A481-9F2B-4285-B6CE-8A95D322DBB3}">
  <sheetPr filterMode="1"/>
  <dimension ref="A1:C49"/>
  <sheetViews>
    <sheetView topLeftCell="A41" workbookViewId="0">
      <selection sqref="A1:XFD49"/>
    </sheetView>
  </sheetViews>
  <sheetFormatPr baseColWidth="10" defaultColWidth="10.89453125" defaultRowHeight="14.4" x14ac:dyDescent="0.55000000000000004"/>
  <cols>
    <col min="1" max="1" width="52.5234375" style="13" bestFit="1" customWidth="1"/>
    <col min="2" max="2" width="26" style="13" customWidth="1"/>
    <col min="3" max="3" width="35.15625" style="13" customWidth="1"/>
    <col min="4" max="16384" width="10.89453125" style="13"/>
  </cols>
  <sheetData>
    <row r="1" spans="1:3" s="8" customFormat="1" ht="28.8" x14ac:dyDescent="0.55000000000000004">
      <c r="A1" s="9" t="s">
        <v>5</v>
      </c>
      <c r="B1" s="7" t="s">
        <v>9</v>
      </c>
      <c r="C1" s="7" t="s">
        <v>10</v>
      </c>
    </row>
    <row r="2" spans="1:3" s="8" customFormat="1" ht="43.2" x14ac:dyDescent="0.55000000000000004">
      <c r="A2" s="9" t="s">
        <v>5</v>
      </c>
      <c r="B2" s="7" t="s">
        <v>15</v>
      </c>
      <c r="C2" s="7" t="s">
        <v>16</v>
      </c>
    </row>
    <row r="3" spans="1:3" ht="28.8" hidden="1" x14ac:dyDescent="0.55000000000000004">
      <c r="A3" s="11" t="s">
        <v>5</v>
      </c>
      <c r="B3" s="12" t="s">
        <v>18</v>
      </c>
      <c r="C3" s="12" t="s">
        <v>19</v>
      </c>
    </row>
    <row r="4" spans="1:3" ht="28.8" hidden="1" x14ac:dyDescent="0.55000000000000004">
      <c r="A4" s="11" t="s">
        <v>5</v>
      </c>
      <c r="B4" s="12" t="s">
        <v>21</v>
      </c>
      <c r="C4" s="12" t="s">
        <v>22</v>
      </c>
    </row>
    <row r="5" spans="1:3" ht="43.2" hidden="1" x14ac:dyDescent="0.55000000000000004">
      <c r="A5" s="11" t="s">
        <v>5</v>
      </c>
      <c r="B5" s="12" t="s">
        <v>28</v>
      </c>
      <c r="C5" s="12" t="s">
        <v>29</v>
      </c>
    </row>
    <row r="6" spans="1:3" ht="43.2" hidden="1" x14ac:dyDescent="0.55000000000000004">
      <c r="A6" s="11" t="s">
        <v>5</v>
      </c>
      <c r="B6" s="12" t="s">
        <v>34</v>
      </c>
      <c r="C6" s="12" t="s">
        <v>35</v>
      </c>
    </row>
    <row r="7" spans="1:3" s="8" customFormat="1" ht="28.8" x14ac:dyDescent="0.55000000000000004">
      <c r="A7" s="9" t="s">
        <v>37</v>
      </c>
      <c r="B7" s="7" t="s">
        <v>38</v>
      </c>
      <c r="C7" s="7" t="s">
        <v>39</v>
      </c>
    </row>
    <row r="8" spans="1:3" s="8" customFormat="1" ht="28.8" x14ac:dyDescent="0.55000000000000004">
      <c r="A8" s="7"/>
      <c r="B8" s="7" t="s">
        <v>41</v>
      </c>
      <c r="C8" s="7" t="s">
        <v>42</v>
      </c>
    </row>
    <row r="9" spans="1:3" s="8" customFormat="1" ht="28.8" x14ac:dyDescent="0.55000000000000004">
      <c r="A9" s="9" t="s">
        <v>47</v>
      </c>
      <c r="B9" s="7" t="s">
        <v>48</v>
      </c>
      <c r="C9" s="7" t="s">
        <v>49</v>
      </c>
    </row>
    <row r="10" spans="1:3" s="8" customFormat="1" ht="28.8" x14ac:dyDescent="0.55000000000000004">
      <c r="A10" s="7"/>
      <c r="B10" s="7" t="s">
        <v>51</v>
      </c>
      <c r="C10" s="7" t="s">
        <v>52</v>
      </c>
    </row>
    <row r="11" spans="1:3" ht="28.8" hidden="1" x14ac:dyDescent="0.55000000000000004">
      <c r="A11" s="12"/>
      <c r="B11" s="12" t="s">
        <v>61</v>
      </c>
      <c r="C11" s="12" t="s">
        <v>62</v>
      </c>
    </row>
    <row r="12" spans="1:3" s="8" customFormat="1" ht="28.8" x14ac:dyDescent="0.55000000000000004">
      <c r="A12" s="9" t="s">
        <v>64</v>
      </c>
      <c r="B12" s="7" t="s">
        <v>65</v>
      </c>
      <c r="C12" s="7" t="s">
        <v>66</v>
      </c>
    </row>
    <row r="13" spans="1:3" ht="28.8" hidden="1" x14ac:dyDescent="0.55000000000000004">
      <c r="A13" s="12"/>
      <c r="B13" s="12" t="s">
        <v>68</v>
      </c>
      <c r="C13" s="12" t="s">
        <v>69</v>
      </c>
    </row>
    <row r="14" spans="1:3" s="8" customFormat="1" ht="28.8" x14ac:dyDescent="0.55000000000000004">
      <c r="A14" s="9" t="s">
        <v>71</v>
      </c>
      <c r="B14" s="7" t="s">
        <v>72</v>
      </c>
      <c r="C14" s="7" t="s">
        <v>73</v>
      </c>
    </row>
    <row r="15" spans="1:3" s="8" customFormat="1" ht="28.8" x14ac:dyDescent="0.55000000000000004">
      <c r="A15" s="7"/>
      <c r="B15" s="7" t="s">
        <v>75</v>
      </c>
      <c r="C15" s="7" t="s">
        <v>76</v>
      </c>
    </row>
    <row r="16" spans="1:3" s="8" customFormat="1" ht="28.8" x14ac:dyDescent="0.55000000000000004">
      <c r="A16" s="7"/>
      <c r="B16" s="7" t="s">
        <v>78</v>
      </c>
      <c r="C16" s="7" t="s">
        <v>79</v>
      </c>
    </row>
    <row r="17" spans="1:3" s="8" customFormat="1" ht="23.7" x14ac:dyDescent="0.55000000000000004">
      <c r="A17" s="10" t="s">
        <v>89</v>
      </c>
    </row>
    <row r="18" spans="1:3" s="8" customFormat="1" ht="43.2" x14ac:dyDescent="0.55000000000000004">
      <c r="A18" s="9" t="s">
        <v>94</v>
      </c>
      <c r="B18" s="7" t="s">
        <v>95</v>
      </c>
      <c r="C18" s="7" t="s">
        <v>96</v>
      </c>
    </row>
    <row r="19" spans="1:3" s="8" customFormat="1" ht="28.8" x14ac:dyDescent="0.55000000000000004">
      <c r="A19" s="9" t="s">
        <v>102</v>
      </c>
      <c r="B19" s="7" t="s">
        <v>103</v>
      </c>
      <c r="C19" s="7" t="s">
        <v>104</v>
      </c>
    </row>
    <row r="20" spans="1:3" s="8" customFormat="1" ht="23.7" x14ac:dyDescent="0.55000000000000004">
      <c r="A20" s="10" t="s">
        <v>106</v>
      </c>
    </row>
    <row r="21" spans="1:3" s="8" customFormat="1" ht="28.8" x14ac:dyDescent="0.55000000000000004">
      <c r="A21" s="9" t="s">
        <v>108</v>
      </c>
      <c r="B21" s="7" t="s">
        <v>109</v>
      </c>
      <c r="C21" s="7" t="s">
        <v>110</v>
      </c>
    </row>
    <row r="22" spans="1:3" s="8" customFormat="1" ht="43.2" x14ac:dyDescent="0.55000000000000004">
      <c r="A22" s="9" t="s">
        <v>112</v>
      </c>
      <c r="B22" s="7" t="s">
        <v>113</v>
      </c>
      <c r="C22" s="7" t="s">
        <v>114</v>
      </c>
    </row>
    <row r="23" spans="1:3" s="8" customFormat="1" ht="43.2" x14ac:dyDescent="0.55000000000000004">
      <c r="A23" s="9" t="s">
        <v>116</v>
      </c>
      <c r="B23" s="7" t="s">
        <v>117</v>
      </c>
      <c r="C23" s="7" t="s">
        <v>118</v>
      </c>
    </row>
    <row r="24" spans="1:3" s="8" customFormat="1" ht="23.7" x14ac:dyDescent="0.55000000000000004">
      <c r="A24" s="10" t="s">
        <v>120</v>
      </c>
    </row>
    <row r="25" spans="1:3" s="8" customFormat="1" ht="43.2" x14ac:dyDescent="0.55000000000000004">
      <c r="A25" s="9" t="s">
        <v>121</v>
      </c>
      <c r="B25" s="7" t="s">
        <v>122</v>
      </c>
      <c r="C25" s="7" t="s">
        <v>123</v>
      </c>
    </row>
    <row r="26" spans="1:3" s="8" customFormat="1" ht="28.8" x14ac:dyDescent="0.55000000000000004">
      <c r="A26" s="9" t="s">
        <v>125</v>
      </c>
      <c r="B26" s="7" t="s">
        <v>126</v>
      </c>
      <c r="C26" s="7" t="s">
        <v>127</v>
      </c>
    </row>
    <row r="27" spans="1:3" s="8" customFormat="1" ht="23.7" x14ac:dyDescent="0.55000000000000004">
      <c r="A27" s="10" t="s">
        <v>133</v>
      </c>
    </row>
    <row r="28" spans="1:3" s="8" customFormat="1" ht="57.6" x14ac:dyDescent="0.55000000000000004">
      <c r="A28" s="9" t="s">
        <v>134</v>
      </c>
      <c r="B28" s="7" t="s">
        <v>135</v>
      </c>
      <c r="C28" s="7" t="s">
        <v>136</v>
      </c>
    </row>
    <row r="29" spans="1:3" s="8" customFormat="1" ht="43.2" x14ac:dyDescent="0.55000000000000004">
      <c r="A29" s="9" t="s">
        <v>138</v>
      </c>
      <c r="B29" s="7" t="s">
        <v>139</v>
      </c>
      <c r="C29" s="7" t="s">
        <v>140</v>
      </c>
    </row>
    <row r="30" spans="1:3" ht="28.8" hidden="1" x14ac:dyDescent="0.55000000000000004">
      <c r="A30" s="11" t="s">
        <v>142</v>
      </c>
      <c r="B30" s="12" t="s">
        <v>143</v>
      </c>
      <c r="C30" s="12" t="s">
        <v>144</v>
      </c>
    </row>
    <row r="31" spans="1:3" s="8" customFormat="1" ht="23.7" x14ac:dyDescent="0.55000000000000004">
      <c r="A31" s="10" t="s">
        <v>150</v>
      </c>
    </row>
    <row r="32" spans="1:3" s="8" customFormat="1" ht="28.8" x14ac:dyDescent="0.55000000000000004">
      <c r="A32" s="9" t="s">
        <v>155</v>
      </c>
      <c r="B32" s="7" t="s">
        <v>156</v>
      </c>
      <c r="C32" s="7" t="s">
        <v>157</v>
      </c>
    </row>
    <row r="33" spans="1:3" s="8" customFormat="1" ht="28.8" x14ac:dyDescent="0.55000000000000004">
      <c r="A33" s="9" t="s">
        <v>159</v>
      </c>
      <c r="B33" s="7" t="s">
        <v>160</v>
      </c>
      <c r="C33" s="7" t="s">
        <v>161</v>
      </c>
    </row>
    <row r="34" spans="1:3" s="8" customFormat="1" ht="23.7" x14ac:dyDescent="0.55000000000000004">
      <c r="A34" s="10" t="s">
        <v>167</v>
      </c>
    </row>
    <row r="35" spans="1:3" ht="43.2" hidden="1" x14ac:dyDescent="0.55000000000000004">
      <c r="A35" s="11" t="s">
        <v>168</v>
      </c>
      <c r="B35" s="12" t="s">
        <v>169</v>
      </c>
      <c r="C35" s="12" t="s">
        <v>170</v>
      </c>
    </row>
    <row r="36" spans="1:3" s="8" customFormat="1" ht="28.8" x14ac:dyDescent="0.55000000000000004">
      <c r="A36" s="9" t="s">
        <v>172</v>
      </c>
      <c r="B36" s="7" t="s">
        <v>173</v>
      </c>
      <c r="C36" s="7" t="s">
        <v>174</v>
      </c>
    </row>
    <row r="37" spans="1:3" s="8" customFormat="1" ht="28.8" x14ac:dyDescent="0.55000000000000004">
      <c r="A37" s="9" t="s">
        <v>176</v>
      </c>
      <c r="B37" s="7" t="s">
        <v>177</v>
      </c>
      <c r="C37" s="7" t="s">
        <v>178</v>
      </c>
    </row>
    <row r="38" spans="1:3" ht="43.2" hidden="1" x14ac:dyDescent="0.55000000000000004">
      <c r="A38" s="11" t="s">
        <v>180</v>
      </c>
      <c r="B38" s="12" t="s">
        <v>181</v>
      </c>
      <c r="C38" s="12" t="s">
        <v>182</v>
      </c>
    </row>
    <row r="39" spans="1:3" s="8" customFormat="1" ht="23.7" x14ac:dyDescent="0.55000000000000004">
      <c r="A39" s="10" t="s">
        <v>184</v>
      </c>
    </row>
    <row r="40" spans="1:3" s="8" customFormat="1" ht="28.8" x14ac:dyDescent="0.55000000000000004">
      <c r="A40" s="9" t="s">
        <v>185</v>
      </c>
      <c r="B40" s="7" t="s">
        <v>186</v>
      </c>
      <c r="C40" s="7" t="s">
        <v>187</v>
      </c>
    </row>
    <row r="41" spans="1:3" s="8" customFormat="1" ht="28.8" x14ac:dyDescent="0.55000000000000004">
      <c r="A41" s="9" t="s">
        <v>189</v>
      </c>
      <c r="B41" s="7" t="s">
        <v>190</v>
      </c>
      <c r="C41" s="7" t="s">
        <v>191</v>
      </c>
    </row>
    <row r="42" spans="1:3" ht="28.8" hidden="1" x14ac:dyDescent="0.55000000000000004">
      <c r="A42" s="11" t="s">
        <v>193</v>
      </c>
      <c r="B42" s="12" t="s">
        <v>194</v>
      </c>
      <c r="C42" s="12" t="s">
        <v>195</v>
      </c>
    </row>
    <row r="43" spans="1:3" s="8" customFormat="1" ht="23.7" x14ac:dyDescent="0.55000000000000004">
      <c r="A43" s="10" t="s">
        <v>197</v>
      </c>
    </row>
    <row r="44" spans="1:3" s="8" customFormat="1" ht="43.2" x14ac:dyDescent="0.55000000000000004">
      <c r="A44" s="9" t="s">
        <v>198</v>
      </c>
      <c r="B44" s="7" t="s">
        <v>199</v>
      </c>
      <c r="C44" s="7" t="s">
        <v>200</v>
      </c>
    </row>
    <row r="45" spans="1:3" ht="28.8" hidden="1" x14ac:dyDescent="0.55000000000000004">
      <c r="A45" s="11" t="s">
        <v>206</v>
      </c>
      <c r="B45" s="12" t="s">
        <v>207</v>
      </c>
      <c r="C45" s="12" t="s">
        <v>208</v>
      </c>
    </row>
    <row r="46" spans="1:3" s="8" customFormat="1" ht="23.7" x14ac:dyDescent="0.55000000000000004">
      <c r="A46" s="10" t="s">
        <v>210</v>
      </c>
    </row>
    <row r="47" spans="1:3" s="8" customFormat="1" ht="28.8" x14ac:dyDescent="0.55000000000000004">
      <c r="A47" s="9" t="s">
        <v>211</v>
      </c>
      <c r="B47" s="7" t="s">
        <v>212</v>
      </c>
      <c r="C47" s="7" t="s">
        <v>213</v>
      </c>
    </row>
    <row r="48" spans="1:3" s="8" customFormat="1" ht="28.8" x14ac:dyDescent="0.55000000000000004">
      <c r="A48" s="9" t="s">
        <v>215</v>
      </c>
      <c r="B48" s="7" t="s">
        <v>216</v>
      </c>
      <c r="C48" s="7" t="s">
        <v>217</v>
      </c>
    </row>
    <row r="49" spans="1:3" s="8" customFormat="1" ht="28.8" x14ac:dyDescent="0.55000000000000004">
      <c r="A49" s="9" t="s">
        <v>219</v>
      </c>
      <c r="B49" s="7" t="s">
        <v>220</v>
      </c>
      <c r="C49" s="7" t="s">
        <v>221</v>
      </c>
    </row>
  </sheetData>
  <autoFilter ref="A1:A49" xr:uid="{DA19A481-9F2B-4285-B6CE-8A95D322DBB3}">
    <filterColumn colId="0">
      <colorFilter dxfId="0"/>
    </filterColumn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6E09-5B5F-4765-9C19-9D2ED0A6BC04}">
  <dimension ref="A1:C38"/>
  <sheetViews>
    <sheetView topLeftCell="A23" workbookViewId="0">
      <selection activeCell="A38" activeCellId="28" sqref="A1:XFD1 A3:XFD3 A4:XFD4 A5:XFD5 A7:XFD7 A9:XFD9 A10:XFD10 A12:XFD12 A13:XFD13 A15:XFD15 A16:XFD16 A17:XFD17 A18:XFD18 A19:XFD19 A21:XFD21 A23:XFD23 A24:XFD24 A28:XFD28 A26:XFD26 A29:XFD29 A30:XFD30 A31:XFD31 A32:XFD32 A33:XFD33 A34:XFD34 A35:XFD35 A36:XFD36 A37:XFD37 A38:XFD38"/>
    </sheetView>
  </sheetViews>
  <sheetFormatPr baseColWidth="10" defaultRowHeight="14.4" x14ac:dyDescent="0.55000000000000004"/>
  <cols>
    <col min="1" max="1" width="52.5234375" bestFit="1" customWidth="1"/>
    <col min="2" max="2" width="25.5234375" bestFit="1" customWidth="1"/>
    <col min="3" max="3" width="33.734375" bestFit="1" customWidth="1"/>
  </cols>
  <sheetData>
    <row r="1" spans="1:3" s="8" customFormat="1" ht="23.7" x14ac:dyDescent="0.55000000000000004">
      <c r="A1" s="10" t="s">
        <v>89</v>
      </c>
    </row>
    <row r="2" spans="1:3" s="8" customFormat="1" ht="28.8" x14ac:dyDescent="0.55000000000000004">
      <c r="A2" s="9" t="s">
        <v>37</v>
      </c>
      <c r="B2" s="7" t="s">
        <v>38</v>
      </c>
      <c r="C2" s="7" t="s">
        <v>39</v>
      </c>
    </row>
    <row r="3" spans="1:3" s="8" customFormat="1" ht="28.8" x14ac:dyDescent="0.55000000000000004">
      <c r="A3" s="7"/>
      <c r="B3" s="7" t="s">
        <v>41</v>
      </c>
      <c r="C3" s="7" t="s">
        <v>42</v>
      </c>
    </row>
    <row r="4" spans="1:3" s="8" customFormat="1" ht="57.6" x14ac:dyDescent="0.55000000000000004">
      <c r="A4" s="9" t="s">
        <v>94</v>
      </c>
      <c r="B4" s="7" t="s">
        <v>95</v>
      </c>
      <c r="C4" s="7" t="s">
        <v>96</v>
      </c>
    </row>
    <row r="5" spans="1:3" s="8" customFormat="1" ht="43.2" x14ac:dyDescent="0.55000000000000004">
      <c r="A5" s="9" t="s">
        <v>223</v>
      </c>
      <c r="B5" s="7" t="s">
        <v>224</v>
      </c>
      <c r="C5" s="7"/>
    </row>
    <row r="6" spans="1:3" s="8" customFormat="1" ht="28.8" x14ac:dyDescent="0.55000000000000004">
      <c r="A6" s="9" t="s">
        <v>102</v>
      </c>
      <c r="B6" s="7" t="s">
        <v>103</v>
      </c>
      <c r="C6" s="7" t="s">
        <v>104</v>
      </c>
    </row>
    <row r="7" spans="1:3" s="8" customFormat="1" ht="23.7" x14ac:dyDescent="0.55000000000000004">
      <c r="A7" s="10" t="s">
        <v>106</v>
      </c>
    </row>
    <row r="8" spans="1:3" s="8" customFormat="1" ht="28.8" x14ac:dyDescent="0.55000000000000004">
      <c r="A8" s="9" t="s">
        <v>64</v>
      </c>
      <c r="B8" s="7" t="s">
        <v>65</v>
      </c>
      <c r="C8" s="7" t="s">
        <v>66</v>
      </c>
    </row>
    <row r="9" spans="1:3" s="8" customFormat="1" ht="28.8" x14ac:dyDescent="0.55000000000000004">
      <c r="A9" s="9" t="s">
        <v>71</v>
      </c>
      <c r="B9" s="7" t="s">
        <v>72</v>
      </c>
      <c r="C9" s="7" t="s">
        <v>73</v>
      </c>
    </row>
    <row r="10" spans="1:3" s="8" customFormat="1" ht="28.8" x14ac:dyDescent="0.55000000000000004">
      <c r="A10" s="7"/>
      <c r="B10" s="7" t="s">
        <v>75</v>
      </c>
      <c r="C10" s="7" t="s">
        <v>76</v>
      </c>
    </row>
    <row r="11" spans="1:3" s="8" customFormat="1" ht="28.8" x14ac:dyDescent="0.55000000000000004">
      <c r="A11" s="7"/>
      <c r="B11" s="7" t="s">
        <v>78</v>
      </c>
      <c r="C11" s="7" t="s">
        <v>79</v>
      </c>
    </row>
    <row r="12" spans="1:3" s="8" customFormat="1" ht="28.8" x14ac:dyDescent="0.55000000000000004">
      <c r="A12" s="9" t="s">
        <v>108</v>
      </c>
      <c r="B12" s="7" t="s">
        <v>109</v>
      </c>
      <c r="C12" s="7" t="s">
        <v>110</v>
      </c>
    </row>
    <row r="13" spans="1:3" s="8" customFormat="1" ht="43.2" x14ac:dyDescent="0.55000000000000004">
      <c r="A13" s="9" t="s">
        <v>112</v>
      </c>
      <c r="B13" s="7" t="s">
        <v>113</v>
      </c>
      <c r="C13" s="7" t="s">
        <v>114</v>
      </c>
    </row>
    <row r="14" spans="1:3" s="8" customFormat="1" ht="43.2" x14ac:dyDescent="0.55000000000000004">
      <c r="A14" s="9" t="s">
        <v>116</v>
      </c>
      <c r="B14" s="7" t="s">
        <v>117</v>
      </c>
      <c r="C14" s="7" t="s">
        <v>118</v>
      </c>
    </row>
    <row r="15" spans="1:3" s="8" customFormat="1" ht="23.7" x14ac:dyDescent="0.55000000000000004">
      <c r="A15" s="10" t="s">
        <v>120</v>
      </c>
    </row>
    <row r="16" spans="1:3" s="8" customFormat="1" ht="43.2" x14ac:dyDescent="0.55000000000000004">
      <c r="A16" s="9" t="s">
        <v>121</v>
      </c>
      <c r="B16" s="7" t="s">
        <v>122</v>
      </c>
      <c r="C16" s="7" t="s">
        <v>123</v>
      </c>
    </row>
    <row r="17" spans="1:3" s="8" customFormat="1" ht="28.8" x14ac:dyDescent="0.55000000000000004">
      <c r="A17" s="9" t="s">
        <v>125</v>
      </c>
      <c r="B17" s="7" t="s">
        <v>126</v>
      </c>
      <c r="C17" s="7" t="s">
        <v>127</v>
      </c>
    </row>
    <row r="18" spans="1:3" s="8" customFormat="1" ht="23.7" x14ac:dyDescent="0.55000000000000004">
      <c r="A18" s="10" t="s">
        <v>133</v>
      </c>
    </row>
    <row r="19" spans="1:3" s="8" customFormat="1" ht="28.8" x14ac:dyDescent="0.55000000000000004">
      <c r="A19" s="9" t="s">
        <v>47</v>
      </c>
      <c r="B19" s="7" t="s">
        <v>48</v>
      </c>
      <c r="C19" s="7" t="s">
        <v>49</v>
      </c>
    </row>
    <row r="20" spans="1:3" s="8" customFormat="1" ht="28.8" x14ac:dyDescent="0.55000000000000004">
      <c r="A20" s="7"/>
      <c r="B20" s="7" t="s">
        <v>51</v>
      </c>
      <c r="C20" s="7" t="s">
        <v>52</v>
      </c>
    </row>
    <row r="21" spans="1:3" s="8" customFormat="1" ht="57.6" x14ac:dyDescent="0.55000000000000004">
      <c r="A21" s="9" t="s">
        <v>134</v>
      </c>
      <c r="B21" s="7" t="s">
        <v>135</v>
      </c>
      <c r="C21" s="7" t="s">
        <v>136</v>
      </c>
    </row>
    <row r="22" spans="1:3" s="8" customFormat="1" ht="43.2" x14ac:dyDescent="0.55000000000000004">
      <c r="A22" s="9" t="s">
        <v>138</v>
      </c>
      <c r="B22" s="7" t="s">
        <v>139</v>
      </c>
      <c r="C22" s="7" t="s">
        <v>140</v>
      </c>
    </row>
    <row r="23" spans="1:3" s="8" customFormat="1" ht="43.2" x14ac:dyDescent="0.55000000000000004">
      <c r="A23" s="9" t="s">
        <v>198</v>
      </c>
      <c r="B23" s="7" t="s">
        <v>199</v>
      </c>
      <c r="C23" s="7" t="s">
        <v>200</v>
      </c>
    </row>
    <row r="24" spans="1:3" s="8" customFormat="1" ht="23.7" x14ac:dyDescent="0.55000000000000004">
      <c r="A24" s="10" t="s">
        <v>150</v>
      </c>
    </row>
    <row r="25" spans="1:3" s="8" customFormat="1" ht="28.8" x14ac:dyDescent="0.55000000000000004">
      <c r="A25" s="9" t="s">
        <v>5</v>
      </c>
      <c r="B25" s="7" t="s">
        <v>9</v>
      </c>
      <c r="C25" s="7" t="s">
        <v>10</v>
      </c>
    </row>
    <row r="26" spans="1:3" s="8" customFormat="1" ht="43.2" x14ac:dyDescent="0.55000000000000004">
      <c r="A26" s="9" t="s">
        <v>5</v>
      </c>
      <c r="B26" s="7" t="s">
        <v>15</v>
      </c>
      <c r="C26" s="7" t="s">
        <v>16</v>
      </c>
    </row>
    <row r="27" spans="1:3" s="8" customFormat="1" ht="28.8" x14ac:dyDescent="0.55000000000000004">
      <c r="A27" s="9" t="s">
        <v>155</v>
      </c>
      <c r="B27" s="7" t="s">
        <v>156</v>
      </c>
      <c r="C27" s="7" t="s">
        <v>157</v>
      </c>
    </row>
    <row r="28" spans="1:3" s="8" customFormat="1" ht="28.8" x14ac:dyDescent="0.55000000000000004">
      <c r="A28" s="9" t="s">
        <v>159</v>
      </c>
      <c r="B28" s="7" t="s">
        <v>160</v>
      </c>
      <c r="C28" s="7" t="s">
        <v>161</v>
      </c>
    </row>
    <row r="29" spans="1:3" s="8" customFormat="1" ht="23.7" x14ac:dyDescent="0.55000000000000004">
      <c r="A29" s="10" t="s">
        <v>167</v>
      </c>
    </row>
    <row r="30" spans="1:3" s="8" customFormat="1" ht="28.8" x14ac:dyDescent="0.55000000000000004">
      <c r="A30" s="9" t="s">
        <v>172</v>
      </c>
      <c r="B30" s="7" t="s">
        <v>173</v>
      </c>
      <c r="C30" s="7" t="s">
        <v>174</v>
      </c>
    </row>
    <row r="31" spans="1:3" s="8" customFormat="1" ht="28.8" x14ac:dyDescent="0.55000000000000004">
      <c r="A31" s="9" t="s">
        <v>176</v>
      </c>
      <c r="B31" s="7" t="s">
        <v>177</v>
      </c>
      <c r="C31" s="7" t="s">
        <v>178</v>
      </c>
    </row>
    <row r="32" spans="1:3" s="8" customFormat="1" ht="23.7" x14ac:dyDescent="0.55000000000000004">
      <c r="A32" s="10" t="s">
        <v>184</v>
      </c>
    </row>
    <row r="33" spans="1:3" s="8" customFormat="1" ht="28.8" x14ac:dyDescent="0.55000000000000004">
      <c r="A33" s="9" t="s">
        <v>185</v>
      </c>
      <c r="B33" s="7" t="s">
        <v>186</v>
      </c>
      <c r="C33" s="7" t="s">
        <v>187</v>
      </c>
    </row>
    <row r="34" spans="1:3" s="8" customFormat="1" ht="28.8" x14ac:dyDescent="0.55000000000000004">
      <c r="A34" s="9" t="s">
        <v>189</v>
      </c>
      <c r="B34" s="7" t="s">
        <v>190</v>
      </c>
      <c r="C34" s="7" t="s">
        <v>191</v>
      </c>
    </row>
    <row r="35" spans="1:3" s="8" customFormat="1" ht="23.7" x14ac:dyDescent="0.55000000000000004">
      <c r="A35" s="10" t="s">
        <v>210</v>
      </c>
    </row>
    <row r="36" spans="1:3" s="8" customFormat="1" ht="28.8" x14ac:dyDescent="0.55000000000000004">
      <c r="A36" s="9" t="s">
        <v>211</v>
      </c>
      <c r="B36" s="7" t="s">
        <v>212</v>
      </c>
      <c r="C36" s="7" t="s">
        <v>213</v>
      </c>
    </row>
    <row r="37" spans="1:3" s="8" customFormat="1" ht="28.8" x14ac:dyDescent="0.55000000000000004">
      <c r="A37" s="9" t="s">
        <v>215</v>
      </c>
      <c r="B37" s="7" t="s">
        <v>216</v>
      </c>
      <c r="C37" s="7" t="s">
        <v>217</v>
      </c>
    </row>
    <row r="38" spans="1:3" s="8" customFormat="1" ht="28.8" x14ac:dyDescent="0.55000000000000004">
      <c r="A38" s="9" t="s">
        <v>219</v>
      </c>
      <c r="B38" s="7" t="s">
        <v>220</v>
      </c>
      <c r="C38" s="7" t="s">
        <v>221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E7B3-DC9E-49CA-A001-535C01F14776}">
  <dimension ref="A1:P20"/>
  <sheetViews>
    <sheetView topLeftCell="A3" zoomScale="80" zoomScaleNormal="80" workbookViewId="0">
      <selection activeCell="E20" sqref="E20"/>
    </sheetView>
  </sheetViews>
  <sheetFormatPr baseColWidth="10" defaultColWidth="10.89453125" defaultRowHeight="14.4" x14ac:dyDescent="0.55000000000000004"/>
  <cols>
    <col min="1" max="1" width="10.89453125" style="14"/>
    <col min="2" max="2" width="18.1015625" style="13" bestFit="1" customWidth="1"/>
    <col min="3" max="3" width="52.5234375" style="13" bestFit="1" customWidth="1"/>
    <col min="4" max="4" width="25.5234375" style="13" bestFit="1" customWidth="1"/>
    <col min="5" max="5" width="9.1015625" style="13" bestFit="1" customWidth="1"/>
    <col min="6" max="6" width="6.734375" style="13" bestFit="1" customWidth="1"/>
    <col min="7" max="7" width="20.26171875" style="13" bestFit="1" customWidth="1"/>
    <col min="8" max="11" width="10.89453125" style="13"/>
    <col min="12" max="12" width="51.47265625" style="13" bestFit="1" customWidth="1"/>
    <col min="13" max="13" width="14.15625" style="13" bestFit="1" customWidth="1"/>
    <col min="14" max="16384" width="10.89453125" style="13"/>
  </cols>
  <sheetData>
    <row r="1" spans="1:16" ht="23.7" x14ac:dyDescent="0.55000000000000004">
      <c r="A1" s="19" t="s">
        <v>278</v>
      </c>
      <c r="B1" s="19" t="s">
        <v>238</v>
      </c>
      <c r="C1" s="20" t="s">
        <v>2</v>
      </c>
      <c r="D1" s="19" t="s">
        <v>248</v>
      </c>
      <c r="E1" s="19" t="s">
        <v>226</v>
      </c>
      <c r="F1" s="19" t="s">
        <v>227</v>
      </c>
      <c r="G1" s="19" t="s">
        <v>279</v>
      </c>
      <c r="H1" s="13" t="s">
        <v>282</v>
      </c>
      <c r="I1" s="13" t="s">
        <v>300</v>
      </c>
      <c r="J1" s="13" t="s">
        <v>283</v>
      </c>
      <c r="K1" s="13" t="s">
        <v>284</v>
      </c>
      <c r="L1" s="13" t="s">
        <v>285</v>
      </c>
      <c r="M1" s="13" t="s">
        <v>314</v>
      </c>
      <c r="N1" s="13" t="s">
        <v>313</v>
      </c>
      <c r="O1" s="13" t="s">
        <v>315</v>
      </c>
      <c r="P1" s="13" t="s">
        <v>316</v>
      </c>
    </row>
    <row r="2" spans="1:16" ht="28.8" x14ac:dyDescent="0.55000000000000004">
      <c r="A2" s="19">
        <v>1</v>
      </c>
      <c r="B2" s="19" t="s">
        <v>239</v>
      </c>
      <c r="C2" s="21" t="s">
        <v>242</v>
      </c>
      <c r="D2" s="21" t="s">
        <v>243</v>
      </c>
      <c r="E2" s="21">
        <v>2</v>
      </c>
      <c r="F2" s="22">
        <v>2</v>
      </c>
      <c r="G2" s="22">
        <f>E2*F2</f>
        <v>4</v>
      </c>
      <c r="I2" s="13" t="s">
        <v>280</v>
      </c>
      <c r="L2" s="13" t="s">
        <v>294</v>
      </c>
      <c r="M2" s="13" t="s">
        <v>334</v>
      </c>
      <c r="N2" s="23">
        <v>72981</v>
      </c>
    </row>
    <row r="3" spans="1:16" ht="28.8" x14ac:dyDescent="0.55000000000000004">
      <c r="A3" s="19">
        <v>2</v>
      </c>
      <c r="B3" s="19" t="s">
        <v>239</v>
      </c>
      <c r="C3" s="21" t="s">
        <v>244</v>
      </c>
      <c r="D3" s="21" t="s">
        <v>245</v>
      </c>
      <c r="E3" s="21">
        <v>2</v>
      </c>
      <c r="F3" s="22">
        <v>3</v>
      </c>
      <c r="G3" s="22">
        <f t="shared" ref="G3:G20" si="0">E3*F3</f>
        <v>6</v>
      </c>
      <c r="I3" s="13" t="s">
        <v>280</v>
      </c>
      <c r="L3" s="13" t="s">
        <v>295</v>
      </c>
      <c r="M3" s="13" t="s">
        <v>335</v>
      </c>
    </row>
    <row r="4" spans="1:16" ht="28.8" x14ac:dyDescent="0.55000000000000004">
      <c r="A4" s="19">
        <v>3</v>
      </c>
      <c r="B4" s="19" t="s">
        <v>246</v>
      </c>
      <c r="C4" s="21" t="s">
        <v>72</v>
      </c>
      <c r="D4" s="21" t="s">
        <v>281</v>
      </c>
      <c r="E4" s="21">
        <v>4</v>
      </c>
      <c r="F4" s="22">
        <v>2</v>
      </c>
      <c r="G4" s="22">
        <f t="shared" si="0"/>
        <v>8</v>
      </c>
      <c r="H4" s="13" t="s">
        <v>280</v>
      </c>
      <c r="L4" s="13" t="s">
        <v>329</v>
      </c>
      <c r="M4" s="13" t="s">
        <v>317</v>
      </c>
      <c r="N4" s="23">
        <v>45953</v>
      </c>
    </row>
    <row r="5" spans="1:16" ht="28.8" x14ac:dyDescent="0.55000000000000004">
      <c r="A5" s="19">
        <v>4</v>
      </c>
      <c r="B5" s="19" t="s">
        <v>246</v>
      </c>
      <c r="C5" s="21" t="s">
        <v>240</v>
      </c>
      <c r="D5" s="21" t="s">
        <v>241</v>
      </c>
      <c r="E5" s="21">
        <v>4</v>
      </c>
      <c r="F5" s="22">
        <v>3</v>
      </c>
      <c r="G5" s="22">
        <f t="shared" si="0"/>
        <v>12</v>
      </c>
      <c r="H5" s="13" t="s">
        <v>280</v>
      </c>
      <c r="L5" s="13" t="s">
        <v>293</v>
      </c>
      <c r="M5" s="13" t="s">
        <v>317</v>
      </c>
      <c r="N5" s="23">
        <v>45953</v>
      </c>
    </row>
    <row r="6" spans="1:16" ht="28.8" x14ac:dyDescent="0.55000000000000004">
      <c r="A6" s="19">
        <v>5</v>
      </c>
      <c r="B6" s="19" t="s">
        <v>246</v>
      </c>
      <c r="C6" s="21" t="s">
        <v>298</v>
      </c>
      <c r="D6" s="21" t="s">
        <v>299</v>
      </c>
      <c r="E6" s="21">
        <v>3</v>
      </c>
      <c r="F6" s="22">
        <v>3</v>
      </c>
      <c r="G6" s="22">
        <f t="shared" si="0"/>
        <v>9</v>
      </c>
      <c r="H6" s="13" t="s">
        <v>280</v>
      </c>
      <c r="L6" s="13" t="s">
        <v>301</v>
      </c>
      <c r="M6" s="13" t="s">
        <v>317</v>
      </c>
      <c r="N6" s="23">
        <v>45953</v>
      </c>
    </row>
    <row r="7" spans="1:16" ht="43.2" x14ac:dyDescent="0.55000000000000004">
      <c r="A7" s="19">
        <v>6</v>
      </c>
      <c r="B7" s="19" t="s">
        <v>246</v>
      </c>
      <c r="C7" s="21" t="s">
        <v>302</v>
      </c>
      <c r="D7" s="21" t="s">
        <v>303</v>
      </c>
      <c r="E7" s="21">
        <v>4</v>
      </c>
      <c r="F7" s="22">
        <v>3</v>
      </c>
      <c r="G7" s="22">
        <f t="shared" si="0"/>
        <v>12</v>
      </c>
      <c r="I7" s="13" t="s">
        <v>280</v>
      </c>
      <c r="L7" s="13" t="s">
        <v>304</v>
      </c>
      <c r="M7" s="13" t="s">
        <v>318</v>
      </c>
      <c r="N7" s="23">
        <v>45940</v>
      </c>
    </row>
    <row r="8" spans="1:16" x14ac:dyDescent="0.55000000000000004">
      <c r="A8" s="19">
        <v>7</v>
      </c>
      <c r="B8" s="19" t="s">
        <v>246</v>
      </c>
      <c r="C8" s="21" t="s">
        <v>247</v>
      </c>
      <c r="D8" s="21" t="s">
        <v>249</v>
      </c>
      <c r="E8" s="21">
        <v>3</v>
      </c>
      <c r="F8" s="22">
        <v>2</v>
      </c>
      <c r="G8" s="22">
        <f t="shared" si="0"/>
        <v>6</v>
      </c>
      <c r="I8" s="13" t="s">
        <v>280</v>
      </c>
      <c r="L8" s="13" t="s">
        <v>286</v>
      </c>
      <c r="M8" s="13" t="s">
        <v>319</v>
      </c>
      <c r="N8" s="23">
        <v>45947</v>
      </c>
    </row>
    <row r="9" spans="1:16" ht="28.8" x14ac:dyDescent="0.55000000000000004">
      <c r="A9" s="19">
        <v>8</v>
      </c>
      <c r="B9" s="19" t="s">
        <v>250</v>
      </c>
      <c r="C9" s="21" t="s">
        <v>251</v>
      </c>
      <c r="D9" s="21" t="s">
        <v>252</v>
      </c>
      <c r="E9" s="21">
        <v>4</v>
      </c>
      <c r="F9" s="22">
        <v>4</v>
      </c>
      <c r="G9" s="22">
        <f t="shared" si="0"/>
        <v>16</v>
      </c>
      <c r="I9" s="13" t="s">
        <v>280</v>
      </c>
      <c r="L9" s="13" t="s">
        <v>320</v>
      </c>
      <c r="M9" s="13" t="s">
        <v>321</v>
      </c>
      <c r="N9" s="23">
        <v>45953</v>
      </c>
    </row>
    <row r="10" spans="1:16" x14ac:dyDescent="0.55000000000000004">
      <c r="A10" s="19">
        <v>9</v>
      </c>
      <c r="B10" s="19" t="s">
        <v>250</v>
      </c>
      <c r="C10" s="21" t="s">
        <v>253</v>
      </c>
      <c r="D10" s="21" t="s">
        <v>254</v>
      </c>
      <c r="E10" s="21">
        <v>3</v>
      </c>
      <c r="F10" s="22">
        <v>4</v>
      </c>
      <c r="G10" s="22">
        <f t="shared" si="0"/>
        <v>12</v>
      </c>
      <c r="J10" s="13" t="s">
        <v>280</v>
      </c>
      <c r="L10" s="13" t="s">
        <v>291</v>
      </c>
      <c r="M10" s="13" t="s">
        <v>322</v>
      </c>
      <c r="N10" s="23">
        <v>45953</v>
      </c>
    </row>
    <row r="11" spans="1:16" ht="28.8" x14ac:dyDescent="0.55000000000000004">
      <c r="A11" s="19">
        <v>10</v>
      </c>
      <c r="B11" s="19" t="s">
        <v>255</v>
      </c>
      <c r="C11" s="21" t="s">
        <v>256</v>
      </c>
      <c r="D11" s="21" t="s">
        <v>257</v>
      </c>
      <c r="E11" s="21">
        <v>4</v>
      </c>
      <c r="F11" s="22">
        <v>3</v>
      </c>
      <c r="G11" s="22">
        <f t="shared" si="0"/>
        <v>12</v>
      </c>
      <c r="H11" s="13" t="s">
        <v>280</v>
      </c>
      <c r="L11" s="13" t="s">
        <v>296</v>
      </c>
      <c r="M11" s="13" t="s">
        <v>317</v>
      </c>
      <c r="N11" s="23">
        <v>45953</v>
      </c>
    </row>
    <row r="12" spans="1:16" ht="43.2" x14ac:dyDescent="0.55000000000000004">
      <c r="A12" s="19">
        <v>11</v>
      </c>
      <c r="B12" s="19" t="s">
        <v>255</v>
      </c>
      <c r="C12" s="21" t="s">
        <v>258</v>
      </c>
      <c r="D12" s="21" t="s">
        <v>259</v>
      </c>
      <c r="E12" s="21">
        <v>2</v>
      </c>
      <c r="F12" s="22">
        <v>5</v>
      </c>
      <c r="G12" s="22">
        <f t="shared" si="0"/>
        <v>10</v>
      </c>
      <c r="I12" s="13" t="s">
        <v>280</v>
      </c>
      <c r="L12" s="13" t="s">
        <v>290</v>
      </c>
      <c r="M12" s="13" t="s">
        <v>324</v>
      </c>
      <c r="N12" s="13" t="s">
        <v>323</v>
      </c>
    </row>
    <row r="13" spans="1:16" x14ac:dyDescent="0.55000000000000004">
      <c r="A13" s="19">
        <v>12</v>
      </c>
      <c r="B13" s="19" t="s">
        <v>260</v>
      </c>
      <c r="C13" s="21" t="s">
        <v>261</v>
      </c>
      <c r="D13" s="21" t="s">
        <v>262</v>
      </c>
      <c r="E13" s="21">
        <v>4</v>
      </c>
      <c r="F13" s="22">
        <v>3</v>
      </c>
      <c r="G13" s="22">
        <f t="shared" si="0"/>
        <v>12</v>
      </c>
      <c r="H13" s="13" t="s">
        <v>280</v>
      </c>
      <c r="L13" s="13" t="s">
        <v>325</v>
      </c>
      <c r="M13" s="13" t="s">
        <v>317</v>
      </c>
      <c r="N13" s="23">
        <v>45953</v>
      </c>
    </row>
    <row r="14" spans="1:16" ht="28.8" x14ac:dyDescent="0.55000000000000004">
      <c r="A14" s="19">
        <v>13</v>
      </c>
      <c r="B14" s="19" t="s">
        <v>260</v>
      </c>
      <c r="C14" s="21" t="s">
        <v>263</v>
      </c>
      <c r="D14" s="21" t="s">
        <v>264</v>
      </c>
      <c r="E14" s="21">
        <v>2</v>
      </c>
      <c r="F14" s="22">
        <v>5</v>
      </c>
      <c r="G14" s="22">
        <f t="shared" si="0"/>
        <v>10</v>
      </c>
      <c r="I14" s="13" t="s">
        <v>280</v>
      </c>
      <c r="L14" s="13" t="s">
        <v>326</v>
      </c>
      <c r="M14" s="13" t="s">
        <v>327</v>
      </c>
      <c r="N14" s="23">
        <v>45940</v>
      </c>
    </row>
    <row r="15" spans="1:16" ht="28.8" x14ac:dyDescent="0.55000000000000004">
      <c r="A15" s="19">
        <v>14</v>
      </c>
      <c r="B15" s="19" t="s">
        <v>265</v>
      </c>
      <c r="C15" s="21" t="s">
        <v>266</v>
      </c>
      <c r="D15" s="21" t="s">
        <v>267</v>
      </c>
      <c r="E15" s="21">
        <v>2</v>
      </c>
      <c r="F15" s="22">
        <v>5</v>
      </c>
      <c r="G15" s="22">
        <f t="shared" si="0"/>
        <v>10</v>
      </c>
      <c r="I15" s="13" t="s">
        <v>280</v>
      </c>
      <c r="L15" s="13" t="s">
        <v>288</v>
      </c>
      <c r="M15" s="13" t="s">
        <v>328</v>
      </c>
      <c r="N15" s="23">
        <v>45947</v>
      </c>
    </row>
    <row r="16" spans="1:16" ht="28.8" x14ac:dyDescent="0.55000000000000004">
      <c r="A16" s="19">
        <v>15</v>
      </c>
      <c r="B16" s="19" t="s">
        <v>265</v>
      </c>
      <c r="C16" s="21" t="s">
        <v>268</v>
      </c>
      <c r="D16" s="21" t="s">
        <v>269</v>
      </c>
      <c r="E16" s="21">
        <v>1</v>
      </c>
      <c r="F16" s="22">
        <v>5</v>
      </c>
      <c r="G16" s="22">
        <f t="shared" si="0"/>
        <v>5</v>
      </c>
      <c r="H16" s="13" t="s">
        <v>280</v>
      </c>
      <c r="L16" s="13" t="s">
        <v>330</v>
      </c>
      <c r="M16" s="13" t="s">
        <v>317</v>
      </c>
      <c r="N16" s="23">
        <v>45940</v>
      </c>
    </row>
    <row r="17" spans="1:14" ht="28.8" x14ac:dyDescent="0.55000000000000004">
      <c r="A17" s="19">
        <v>16</v>
      </c>
      <c r="B17" s="19" t="s">
        <v>270</v>
      </c>
      <c r="C17" s="21" t="s">
        <v>271</v>
      </c>
      <c r="D17" s="21" t="s">
        <v>272</v>
      </c>
      <c r="E17" s="21">
        <v>2</v>
      </c>
      <c r="F17" s="22">
        <v>4</v>
      </c>
      <c r="G17" s="22">
        <f t="shared" si="0"/>
        <v>8</v>
      </c>
      <c r="I17" s="13" t="s">
        <v>280</v>
      </c>
      <c r="L17" s="13" t="s">
        <v>331</v>
      </c>
      <c r="M17" s="13" t="s">
        <v>332</v>
      </c>
      <c r="N17" s="23">
        <v>45926</v>
      </c>
    </row>
    <row r="18" spans="1:14" ht="43.2" x14ac:dyDescent="0.55000000000000004">
      <c r="A18" s="19">
        <v>17</v>
      </c>
      <c r="B18" s="19" t="s">
        <v>270</v>
      </c>
      <c r="C18" s="21" t="s">
        <v>273</v>
      </c>
      <c r="D18" s="21" t="s">
        <v>274</v>
      </c>
      <c r="E18" s="21">
        <v>1</v>
      </c>
      <c r="F18" s="22">
        <v>5</v>
      </c>
      <c r="G18" s="22">
        <f t="shared" si="0"/>
        <v>5</v>
      </c>
      <c r="I18" s="13" t="s">
        <v>280</v>
      </c>
      <c r="L18" s="13" t="s">
        <v>297</v>
      </c>
      <c r="M18" s="13" t="s">
        <v>333</v>
      </c>
      <c r="N18" s="23">
        <v>45926</v>
      </c>
    </row>
    <row r="19" spans="1:14" x14ac:dyDescent="0.55000000000000004">
      <c r="A19" s="19">
        <v>18</v>
      </c>
      <c r="B19" s="19" t="s">
        <v>275</v>
      </c>
      <c r="C19" s="21" t="s">
        <v>276</v>
      </c>
      <c r="D19" s="21" t="s">
        <v>277</v>
      </c>
      <c r="E19" s="21">
        <v>2</v>
      </c>
      <c r="F19" s="22">
        <v>5</v>
      </c>
      <c r="G19" s="22">
        <f t="shared" si="0"/>
        <v>10</v>
      </c>
      <c r="H19" s="13" t="s">
        <v>280</v>
      </c>
      <c r="L19" s="13" t="s">
        <v>305</v>
      </c>
      <c r="M19" s="13" t="s">
        <v>317</v>
      </c>
      <c r="N19" s="23">
        <v>45953</v>
      </c>
    </row>
    <row r="20" spans="1:14" ht="43.2" x14ac:dyDescent="0.55000000000000004">
      <c r="A20" s="19">
        <v>19</v>
      </c>
      <c r="B20" s="19" t="s">
        <v>275</v>
      </c>
      <c r="C20" s="21" t="s">
        <v>358</v>
      </c>
      <c r="D20" s="21" t="s">
        <v>356</v>
      </c>
      <c r="E20" s="21">
        <v>1</v>
      </c>
      <c r="F20" s="22">
        <v>5</v>
      </c>
      <c r="G20" s="22">
        <f t="shared" si="0"/>
        <v>5</v>
      </c>
      <c r="H20" s="13" t="s">
        <v>280</v>
      </c>
      <c r="L20" s="13" t="s">
        <v>305</v>
      </c>
      <c r="M20" s="13" t="s">
        <v>317</v>
      </c>
      <c r="N20" s="23">
        <v>45953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AE2C-2824-4C08-B947-28E1493E0DC2}">
  <dimension ref="B1:M22"/>
  <sheetViews>
    <sheetView workbookViewId="0">
      <selection activeCell="F15" sqref="F15"/>
    </sheetView>
  </sheetViews>
  <sheetFormatPr baseColWidth="10" defaultRowHeight="14.4" x14ac:dyDescent="0.55000000000000004"/>
  <cols>
    <col min="3" max="3" width="12.15625" bestFit="1" customWidth="1"/>
    <col min="10" max="10" width="10.89453125" style="14"/>
    <col min="11" max="11" width="9.1015625" style="13" bestFit="1" customWidth="1"/>
    <col min="12" max="12" width="6.734375" style="13" bestFit="1" customWidth="1"/>
  </cols>
  <sheetData>
    <row r="1" spans="2:13" x14ac:dyDescent="0.55000000000000004">
      <c r="J1" s="19" t="s">
        <v>278</v>
      </c>
      <c r="K1" s="19" t="s">
        <v>226</v>
      </c>
      <c r="L1" s="19" t="s">
        <v>227</v>
      </c>
    </row>
    <row r="2" spans="2:13" x14ac:dyDescent="0.55000000000000004">
      <c r="B2" s="30" t="s">
        <v>226</v>
      </c>
      <c r="C2" s="18" t="s">
        <v>225</v>
      </c>
      <c r="D2" s="29" t="s">
        <v>227</v>
      </c>
      <c r="E2" s="29"/>
      <c r="F2" s="29"/>
      <c r="G2" s="29"/>
      <c r="H2" s="29"/>
      <c r="J2" s="19">
        <v>1</v>
      </c>
      <c r="K2" s="21">
        <v>2</v>
      </c>
      <c r="L2" s="22">
        <v>2</v>
      </c>
      <c r="M2" s="8"/>
    </row>
    <row r="3" spans="2:13" x14ac:dyDescent="0.55000000000000004">
      <c r="B3" s="30"/>
      <c r="C3" s="18"/>
      <c r="D3" s="14" t="s">
        <v>233</v>
      </c>
      <c r="E3" s="14" t="s">
        <v>234</v>
      </c>
      <c r="F3" s="14" t="s">
        <v>235</v>
      </c>
      <c r="G3" s="14" t="s">
        <v>236</v>
      </c>
      <c r="H3" s="14" t="s">
        <v>237</v>
      </c>
      <c r="J3" s="19">
        <v>2</v>
      </c>
      <c r="K3" s="21">
        <v>2</v>
      </c>
      <c r="L3" s="22">
        <v>3</v>
      </c>
      <c r="M3" s="8"/>
    </row>
    <row r="4" spans="2:13" ht="14.4" customHeight="1" x14ac:dyDescent="0.55000000000000004">
      <c r="B4" s="30"/>
      <c r="C4" s="14" t="s">
        <v>228</v>
      </c>
      <c r="D4" s="8" t="s">
        <v>360</v>
      </c>
      <c r="E4" s="15" t="s">
        <v>359</v>
      </c>
      <c r="F4" s="16"/>
      <c r="G4" s="16"/>
      <c r="H4" s="16"/>
      <c r="J4" s="19">
        <v>3</v>
      </c>
      <c r="K4" s="21">
        <v>4</v>
      </c>
      <c r="L4" s="22">
        <v>2</v>
      </c>
      <c r="M4" s="8"/>
    </row>
    <row r="5" spans="2:13" x14ac:dyDescent="0.55000000000000004">
      <c r="B5" s="30"/>
      <c r="C5" s="14" t="s">
        <v>229</v>
      </c>
      <c r="D5" s="8">
        <v>21</v>
      </c>
      <c r="E5" s="15">
        <v>16</v>
      </c>
      <c r="F5" s="15">
        <v>9</v>
      </c>
      <c r="G5" s="16">
        <v>8</v>
      </c>
      <c r="H5" s="16"/>
      <c r="J5" s="19">
        <v>4</v>
      </c>
      <c r="K5" s="21">
        <v>4</v>
      </c>
      <c r="L5" s="22">
        <v>3</v>
      </c>
      <c r="M5" s="8"/>
    </row>
    <row r="6" spans="2:13" x14ac:dyDescent="0.55000000000000004">
      <c r="B6" s="30"/>
      <c r="C6" s="14" t="s">
        <v>230</v>
      </c>
      <c r="D6" s="17"/>
      <c r="E6" s="8"/>
      <c r="F6" s="15">
        <v>5</v>
      </c>
      <c r="G6" s="15" t="s">
        <v>307</v>
      </c>
      <c r="H6" s="16"/>
      <c r="J6" s="19">
        <v>5</v>
      </c>
      <c r="K6" s="21">
        <v>3</v>
      </c>
      <c r="L6" s="22">
        <v>3</v>
      </c>
      <c r="M6" s="8"/>
    </row>
    <row r="7" spans="2:13" x14ac:dyDescent="0.55000000000000004">
      <c r="B7" s="30"/>
      <c r="C7" s="14" t="s">
        <v>231</v>
      </c>
      <c r="D7" s="17"/>
      <c r="E7" s="17">
        <v>1</v>
      </c>
      <c r="F7" s="8" t="s">
        <v>306</v>
      </c>
      <c r="G7" s="8">
        <v>3</v>
      </c>
      <c r="H7" s="15"/>
      <c r="J7" s="19">
        <v>6</v>
      </c>
      <c r="K7" s="21">
        <v>4</v>
      </c>
      <c r="L7" s="22">
        <v>3</v>
      </c>
      <c r="M7" s="8"/>
    </row>
    <row r="8" spans="2:13" x14ac:dyDescent="0.55000000000000004">
      <c r="B8" s="30"/>
      <c r="C8" s="14" t="s">
        <v>232</v>
      </c>
      <c r="D8" s="17"/>
      <c r="E8" s="17"/>
      <c r="F8" s="17"/>
      <c r="G8" s="17"/>
      <c r="H8" s="8"/>
      <c r="J8" s="19">
        <v>7</v>
      </c>
      <c r="K8" s="21">
        <v>3</v>
      </c>
      <c r="L8" s="22">
        <v>2</v>
      </c>
      <c r="M8" s="8"/>
    </row>
    <row r="9" spans="2:13" x14ac:dyDescent="0.55000000000000004">
      <c r="J9" s="19">
        <v>8</v>
      </c>
      <c r="K9" s="21">
        <v>4</v>
      </c>
      <c r="L9" s="22">
        <v>4</v>
      </c>
      <c r="M9" s="8"/>
    </row>
    <row r="10" spans="2:13" x14ac:dyDescent="0.55000000000000004">
      <c r="J10" s="19">
        <v>9</v>
      </c>
      <c r="K10" s="21">
        <v>3</v>
      </c>
      <c r="L10" s="22">
        <v>4</v>
      </c>
      <c r="M10" s="8"/>
    </row>
    <row r="11" spans="2:13" x14ac:dyDescent="0.55000000000000004">
      <c r="J11" s="19">
        <v>10</v>
      </c>
      <c r="K11" s="21">
        <v>4</v>
      </c>
      <c r="L11" s="22">
        <v>3</v>
      </c>
      <c r="M11" s="8"/>
    </row>
    <row r="12" spans="2:13" x14ac:dyDescent="0.55000000000000004">
      <c r="J12" s="19">
        <v>11</v>
      </c>
      <c r="K12" s="21">
        <v>2</v>
      </c>
      <c r="L12" s="22">
        <v>5</v>
      </c>
      <c r="M12" s="8"/>
    </row>
    <row r="13" spans="2:13" x14ac:dyDescent="0.55000000000000004">
      <c r="J13" s="19">
        <v>12</v>
      </c>
      <c r="K13" s="21">
        <v>4</v>
      </c>
      <c r="L13" s="22">
        <v>3</v>
      </c>
      <c r="M13" s="8"/>
    </row>
    <row r="14" spans="2:13" x14ac:dyDescent="0.55000000000000004">
      <c r="J14" s="19">
        <v>13</v>
      </c>
      <c r="K14" s="21">
        <v>2</v>
      </c>
      <c r="L14" s="22">
        <v>5</v>
      </c>
      <c r="M14" s="8"/>
    </row>
    <row r="15" spans="2:13" x14ac:dyDescent="0.55000000000000004">
      <c r="J15" s="19">
        <v>14</v>
      </c>
      <c r="K15" s="21">
        <v>2</v>
      </c>
      <c r="L15" s="22">
        <v>5</v>
      </c>
      <c r="M15" s="8"/>
    </row>
    <row r="16" spans="2:13" x14ac:dyDescent="0.55000000000000004">
      <c r="J16" s="19">
        <v>15</v>
      </c>
      <c r="K16" s="21">
        <v>1</v>
      </c>
      <c r="L16" s="22">
        <v>5</v>
      </c>
      <c r="M16" s="8"/>
    </row>
    <row r="17" spans="10:13" x14ac:dyDescent="0.55000000000000004">
      <c r="J17" s="19">
        <v>16</v>
      </c>
      <c r="K17" s="21">
        <v>2</v>
      </c>
      <c r="L17" s="22">
        <v>4</v>
      </c>
      <c r="M17" s="8"/>
    </row>
    <row r="18" spans="10:13" x14ac:dyDescent="0.55000000000000004">
      <c r="J18" s="19">
        <v>17</v>
      </c>
      <c r="K18" s="21">
        <v>1</v>
      </c>
      <c r="L18" s="22">
        <v>5</v>
      </c>
      <c r="M18" s="8"/>
    </row>
    <row r="19" spans="10:13" x14ac:dyDescent="0.55000000000000004">
      <c r="J19" s="19">
        <v>18</v>
      </c>
      <c r="K19" s="21">
        <v>2</v>
      </c>
      <c r="L19" s="22">
        <v>5</v>
      </c>
      <c r="M19" s="8"/>
    </row>
    <row r="20" spans="10:13" x14ac:dyDescent="0.55000000000000004">
      <c r="J20" s="19">
        <v>19</v>
      </c>
      <c r="K20" s="21">
        <v>2</v>
      </c>
      <c r="L20" s="22">
        <v>5</v>
      </c>
      <c r="M20" s="8"/>
    </row>
    <row r="21" spans="10:13" x14ac:dyDescent="0.55000000000000004">
      <c r="J21" s="19">
        <v>20</v>
      </c>
      <c r="K21" s="21">
        <v>1</v>
      </c>
      <c r="L21" s="22">
        <v>5</v>
      </c>
      <c r="M21" s="8"/>
    </row>
    <row r="22" spans="10:13" x14ac:dyDescent="0.55000000000000004">
      <c r="J22" s="19">
        <v>21</v>
      </c>
      <c r="K22" s="21">
        <v>1</v>
      </c>
      <c r="L22" s="22">
        <v>4</v>
      </c>
      <c r="M22" s="8"/>
    </row>
  </sheetData>
  <mergeCells count="2">
    <mergeCell ref="D2:H2"/>
    <mergeCell ref="B2:B8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58A-F0B2-4399-BAB5-99C5BA883F62}">
  <dimension ref="A1:E20"/>
  <sheetViews>
    <sheetView workbookViewId="0">
      <selection activeCell="C20" sqref="C20"/>
    </sheetView>
  </sheetViews>
  <sheetFormatPr baseColWidth="10" defaultRowHeight="14.4" x14ac:dyDescent="0.55000000000000004"/>
  <cols>
    <col min="1" max="1" width="10.89453125" style="14"/>
    <col min="2" max="2" width="18.1015625" style="13" bestFit="1" customWidth="1"/>
    <col min="3" max="3" width="52.5234375" style="13" bestFit="1" customWidth="1"/>
    <col min="4" max="4" width="9.1015625" style="13" bestFit="1" customWidth="1"/>
    <col min="5" max="5" width="6.734375" style="13" bestFit="1" customWidth="1"/>
  </cols>
  <sheetData>
    <row r="1" spans="1:5" ht="23.7" x14ac:dyDescent="0.55000000000000004">
      <c r="A1" s="19" t="s">
        <v>278</v>
      </c>
      <c r="B1" s="19" t="s">
        <v>238</v>
      </c>
      <c r="C1" s="20" t="s">
        <v>2</v>
      </c>
      <c r="D1" s="19" t="s">
        <v>226</v>
      </c>
      <c r="E1" s="19" t="s">
        <v>227</v>
      </c>
    </row>
    <row r="2" spans="1:5" x14ac:dyDescent="0.55000000000000004">
      <c r="A2" s="19">
        <v>1</v>
      </c>
      <c r="B2" s="19" t="s">
        <v>239</v>
      </c>
      <c r="C2" s="21" t="s">
        <v>242</v>
      </c>
      <c r="D2" s="21">
        <v>2</v>
      </c>
      <c r="E2" s="22">
        <v>2</v>
      </c>
    </row>
    <row r="3" spans="1:5" x14ac:dyDescent="0.55000000000000004">
      <c r="A3" s="19">
        <v>2</v>
      </c>
      <c r="B3" s="19" t="s">
        <v>239</v>
      </c>
      <c r="C3" s="21" t="s">
        <v>244</v>
      </c>
      <c r="D3" s="21">
        <v>2</v>
      </c>
      <c r="E3" s="22">
        <v>3</v>
      </c>
    </row>
    <row r="4" spans="1:5" x14ac:dyDescent="0.55000000000000004">
      <c r="A4" s="19">
        <v>3</v>
      </c>
      <c r="B4" s="19" t="s">
        <v>246</v>
      </c>
      <c r="C4" s="21" t="s">
        <v>72</v>
      </c>
      <c r="D4" s="21">
        <v>4</v>
      </c>
      <c r="E4" s="22">
        <v>2</v>
      </c>
    </row>
    <row r="5" spans="1:5" x14ac:dyDescent="0.55000000000000004">
      <c r="A5" s="19">
        <v>4</v>
      </c>
      <c r="B5" s="19" t="s">
        <v>246</v>
      </c>
      <c r="C5" s="21" t="s">
        <v>240</v>
      </c>
      <c r="D5" s="21">
        <v>4</v>
      </c>
      <c r="E5" s="22">
        <v>3</v>
      </c>
    </row>
    <row r="6" spans="1:5" x14ac:dyDescent="0.55000000000000004">
      <c r="A6" s="19">
        <v>5</v>
      </c>
      <c r="B6" s="19" t="s">
        <v>246</v>
      </c>
      <c r="C6" s="21" t="s">
        <v>298</v>
      </c>
      <c r="D6" s="21">
        <v>3</v>
      </c>
      <c r="E6" s="22">
        <v>3</v>
      </c>
    </row>
    <row r="7" spans="1:5" x14ac:dyDescent="0.55000000000000004">
      <c r="A7" s="19">
        <v>6</v>
      </c>
      <c r="B7" s="19" t="s">
        <v>246</v>
      </c>
      <c r="C7" s="21" t="s">
        <v>302</v>
      </c>
      <c r="D7" s="21">
        <v>4</v>
      </c>
      <c r="E7" s="22">
        <v>3</v>
      </c>
    </row>
    <row r="8" spans="1:5" x14ac:dyDescent="0.55000000000000004">
      <c r="A8" s="19">
        <v>7</v>
      </c>
      <c r="B8" s="19" t="s">
        <v>246</v>
      </c>
      <c r="C8" s="21" t="s">
        <v>247</v>
      </c>
      <c r="D8" s="21">
        <v>3</v>
      </c>
      <c r="E8" s="22">
        <v>2</v>
      </c>
    </row>
    <row r="9" spans="1:5" x14ac:dyDescent="0.55000000000000004">
      <c r="A9" s="19">
        <v>8</v>
      </c>
      <c r="B9" s="19" t="s">
        <v>250</v>
      </c>
      <c r="C9" s="21" t="s">
        <v>251</v>
      </c>
      <c r="D9" s="21">
        <v>4</v>
      </c>
      <c r="E9" s="22">
        <v>4</v>
      </c>
    </row>
    <row r="10" spans="1:5" x14ac:dyDescent="0.55000000000000004">
      <c r="A10" s="19">
        <v>9</v>
      </c>
      <c r="B10" s="19" t="s">
        <v>250</v>
      </c>
      <c r="C10" s="21" t="s">
        <v>253</v>
      </c>
      <c r="D10" s="21">
        <v>3</v>
      </c>
      <c r="E10" s="22">
        <v>4</v>
      </c>
    </row>
    <row r="11" spans="1:5" x14ac:dyDescent="0.55000000000000004">
      <c r="A11" s="19">
        <v>10</v>
      </c>
      <c r="B11" s="19" t="s">
        <v>255</v>
      </c>
      <c r="C11" s="21" t="s">
        <v>256</v>
      </c>
      <c r="D11" s="21">
        <v>4</v>
      </c>
      <c r="E11" s="22">
        <v>3</v>
      </c>
    </row>
    <row r="12" spans="1:5" x14ac:dyDescent="0.55000000000000004">
      <c r="A12" s="19">
        <v>11</v>
      </c>
      <c r="B12" s="19" t="s">
        <v>255</v>
      </c>
      <c r="C12" s="21" t="s">
        <v>258</v>
      </c>
      <c r="D12" s="21">
        <v>2</v>
      </c>
      <c r="E12" s="22">
        <v>5</v>
      </c>
    </row>
    <row r="13" spans="1:5" x14ac:dyDescent="0.55000000000000004">
      <c r="A13" s="19">
        <v>12</v>
      </c>
      <c r="B13" s="19" t="s">
        <v>260</v>
      </c>
      <c r="C13" s="21" t="s">
        <v>261</v>
      </c>
      <c r="D13" s="21">
        <v>4</v>
      </c>
      <c r="E13" s="22">
        <v>3</v>
      </c>
    </row>
    <row r="14" spans="1:5" x14ac:dyDescent="0.55000000000000004">
      <c r="A14" s="19">
        <v>13</v>
      </c>
      <c r="B14" s="19" t="s">
        <v>260</v>
      </c>
      <c r="C14" s="21" t="s">
        <v>263</v>
      </c>
      <c r="D14" s="21">
        <v>2</v>
      </c>
      <c r="E14" s="22">
        <v>5</v>
      </c>
    </row>
    <row r="15" spans="1:5" x14ac:dyDescent="0.55000000000000004">
      <c r="A15" s="19">
        <v>14</v>
      </c>
      <c r="B15" s="19" t="s">
        <v>265</v>
      </c>
      <c r="C15" s="21" t="s">
        <v>266</v>
      </c>
      <c r="D15" s="21">
        <v>2</v>
      </c>
      <c r="E15" s="22">
        <v>5</v>
      </c>
    </row>
    <row r="16" spans="1:5" x14ac:dyDescent="0.55000000000000004">
      <c r="A16" s="19">
        <v>15</v>
      </c>
      <c r="B16" s="19" t="s">
        <v>265</v>
      </c>
      <c r="C16" s="21" t="s">
        <v>268</v>
      </c>
      <c r="D16" s="21">
        <v>1</v>
      </c>
      <c r="E16" s="22">
        <v>5</v>
      </c>
    </row>
    <row r="17" spans="1:5" x14ac:dyDescent="0.55000000000000004">
      <c r="A17" s="19">
        <v>16</v>
      </c>
      <c r="B17" s="19" t="s">
        <v>270</v>
      </c>
      <c r="C17" s="21" t="s">
        <v>271</v>
      </c>
      <c r="D17" s="21">
        <v>2</v>
      </c>
      <c r="E17" s="22">
        <v>4</v>
      </c>
    </row>
    <row r="18" spans="1:5" x14ac:dyDescent="0.55000000000000004">
      <c r="A18" s="19">
        <v>17</v>
      </c>
      <c r="B18" s="19" t="s">
        <v>270</v>
      </c>
      <c r="C18" s="21" t="s">
        <v>273</v>
      </c>
      <c r="D18" s="21">
        <v>1</v>
      </c>
      <c r="E18" s="22">
        <v>5</v>
      </c>
    </row>
    <row r="19" spans="1:5" x14ac:dyDescent="0.55000000000000004">
      <c r="A19" s="19">
        <v>18</v>
      </c>
      <c r="B19" s="19" t="s">
        <v>275</v>
      </c>
      <c r="C19" s="21" t="s">
        <v>276</v>
      </c>
      <c r="D19" s="21">
        <v>2</v>
      </c>
      <c r="E19" s="22">
        <v>5</v>
      </c>
    </row>
    <row r="20" spans="1:5" x14ac:dyDescent="0.55000000000000004">
      <c r="A20" s="19">
        <v>19</v>
      </c>
      <c r="B20" s="19" t="s">
        <v>275</v>
      </c>
      <c r="C20" s="21" t="s">
        <v>357</v>
      </c>
      <c r="D20" s="21">
        <v>2</v>
      </c>
      <c r="E20" s="22">
        <v>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2C4B-86F0-456F-9E76-A960D71BEE17}">
  <dimension ref="A1:E20"/>
  <sheetViews>
    <sheetView topLeftCell="A6" workbookViewId="0">
      <selection activeCell="C20" sqref="C20"/>
    </sheetView>
  </sheetViews>
  <sheetFormatPr baseColWidth="10" defaultRowHeight="14.4" x14ac:dyDescent="0.55000000000000004"/>
  <cols>
    <col min="1" max="1" width="10.89453125" style="14"/>
    <col min="2" max="2" width="52.5234375" style="13" bestFit="1" customWidth="1"/>
    <col min="3" max="3" width="25.5234375" style="13" bestFit="1" customWidth="1"/>
    <col min="4" max="4" width="10.89453125" style="13"/>
    <col min="5" max="5" width="51.47265625" style="13" bestFit="1" customWidth="1"/>
  </cols>
  <sheetData>
    <row r="1" spans="1:5" ht="23.7" x14ac:dyDescent="0.55000000000000004">
      <c r="A1" s="19" t="s">
        <v>278</v>
      </c>
      <c r="B1" s="20" t="s">
        <v>2</v>
      </c>
      <c r="C1" s="19" t="s">
        <v>248</v>
      </c>
      <c r="D1" s="19" t="s">
        <v>308</v>
      </c>
      <c r="E1" s="19" t="s">
        <v>309</v>
      </c>
    </row>
    <row r="2" spans="1:5" ht="28.8" x14ac:dyDescent="0.55000000000000004">
      <c r="A2" s="19">
        <v>1</v>
      </c>
      <c r="B2" s="21" t="s">
        <v>242</v>
      </c>
      <c r="C2" s="21" t="s">
        <v>243</v>
      </c>
      <c r="D2" s="22" t="s">
        <v>300</v>
      </c>
      <c r="E2" s="22" t="s">
        <v>294</v>
      </c>
    </row>
    <row r="3" spans="1:5" ht="28.8" x14ac:dyDescent="0.55000000000000004">
      <c r="A3" s="19">
        <v>2</v>
      </c>
      <c r="B3" s="21" t="s">
        <v>244</v>
      </c>
      <c r="C3" s="21" t="s">
        <v>245</v>
      </c>
      <c r="D3" s="22" t="s">
        <v>300</v>
      </c>
      <c r="E3" s="22" t="s">
        <v>295</v>
      </c>
    </row>
    <row r="4" spans="1:5" ht="28.8" x14ac:dyDescent="0.55000000000000004">
      <c r="A4" s="19">
        <v>3</v>
      </c>
      <c r="B4" s="21" t="s">
        <v>72</v>
      </c>
      <c r="C4" s="21" t="s">
        <v>281</v>
      </c>
      <c r="D4" s="22" t="s">
        <v>282</v>
      </c>
      <c r="E4" s="22" t="s">
        <v>312</v>
      </c>
    </row>
    <row r="5" spans="1:5" ht="28.8" x14ac:dyDescent="0.55000000000000004">
      <c r="A5" s="19">
        <v>4</v>
      </c>
      <c r="B5" s="21" t="s">
        <v>240</v>
      </c>
      <c r="C5" s="21" t="s">
        <v>241</v>
      </c>
      <c r="D5" s="22" t="s">
        <v>282</v>
      </c>
      <c r="E5" s="22" t="s">
        <v>293</v>
      </c>
    </row>
    <row r="6" spans="1:5" ht="28.8" x14ac:dyDescent="0.55000000000000004">
      <c r="A6" s="19">
        <v>5</v>
      </c>
      <c r="B6" s="21" t="s">
        <v>298</v>
      </c>
      <c r="C6" s="21" t="s">
        <v>299</v>
      </c>
      <c r="D6" s="22" t="s">
        <v>282</v>
      </c>
      <c r="E6" s="22" t="s">
        <v>301</v>
      </c>
    </row>
    <row r="7" spans="1:5" ht="43.2" x14ac:dyDescent="0.55000000000000004">
      <c r="A7" s="19">
        <v>6</v>
      </c>
      <c r="B7" s="21" t="s">
        <v>302</v>
      </c>
      <c r="C7" s="21" t="s">
        <v>303</v>
      </c>
      <c r="D7" s="22" t="s">
        <v>300</v>
      </c>
      <c r="E7" s="22" t="s">
        <v>304</v>
      </c>
    </row>
    <row r="8" spans="1:5" x14ac:dyDescent="0.55000000000000004">
      <c r="A8" s="19">
        <v>7</v>
      </c>
      <c r="B8" s="21" t="s">
        <v>247</v>
      </c>
      <c r="C8" s="21" t="s">
        <v>249</v>
      </c>
      <c r="D8" s="22" t="s">
        <v>300</v>
      </c>
      <c r="E8" s="22" t="s">
        <v>286</v>
      </c>
    </row>
    <row r="9" spans="1:5" ht="28.8" x14ac:dyDescent="0.55000000000000004">
      <c r="A9" s="19">
        <v>8</v>
      </c>
      <c r="B9" s="21" t="s">
        <v>310</v>
      </c>
      <c r="C9" s="21" t="s">
        <v>252</v>
      </c>
      <c r="D9" s="22" t="s">
        <v>282</v>
      </c>
      <c r="E9" s="22" t="s">
        <v>292</v>
      </c>
    </row>
    <row r="10" spans="1:5" x14ac:dyDescent="0.55000000000000004">
      <c r="A10" s="19">
        <v>9</v>
      </c>
      <c r="B10" s="21" t="s">
        <v>311</v>
      </c>
      <c r="C10" s="21" t="s">
        <v>254</v>
      </c>
      <c r="D10" s="22" t="s">
        <v>283</v>
      </c>
      <c r="E10" s="22" t="s">
        <v>291</v>
      </c>
    </row>
    <row r="11" spans="1:5" ht="28.8" x14ac:dyDescent="0.55000000000000004">
      <c r="A11" s="19">
        <v>10</v>
      </c>
      <c r="B11" s="21" t="s">
        <v>256</v>
      </c>
      <c r="C11" s="21" t="s">
        <v>257</v>
      </c>
      <c r="D11" s="22" t="s">
        <v>282</v>
      </c>
      <c r="E11" s="22" t="s">
        <v>296</v>
      </c>
    </row>
    <row r="12" spans="1:5" ht="43.2" x14ac:dyDescent="0.55000000000000004">
      <c r="A12" s="19">
        <v>11</v>
      </c>
      <c r="B12" s="21" t="s">
        <v>258</v>
      </c>
      <c r="C12" s="21" t="s">
        <v>259</v>
      </c>
      <c r="D12" s="22" t="s">
        <v>300</v>
      </c>
      <c r="E12" s="22" t="s">
        <v>290</v>
      </c>
    </row>
    <row r="13" spans="1:5" x14ac:dyDescent="0.55000000000000004">
      <c r="A13" s="19">
        <v>12</v>
      </c>
      <c r="B13" s="21" t="s">
        <v>261</v>
      </c>
      <c r="C13" s="21" t="s">
        <v>262</v>
      </c>
      <c r="D13" s="22" t="s">
        <v>282</v>
      </c>
      <c r="E13" s="22"/>
    </row>
    <row r="14" spans="1:5" ht="28.8" x14ac:dyDescent="0.55000000000000004">
      <c r="A14" s="19">
        <v>13</v>
      </c>
      <c r="B14" s="21" t="s">
        <v>263</v>
      </c>
      <c r="C14" s="21" t="s">
        <v>264</v>
      </c>
      <c r="D14" s="22" t="s">
        <v>300</v>
      </c>
      <c r="E14" s="22" t="s">
        <v>289</v>
      </c>
    </row>
    <row r="15" spans="1:5" ht="28.8" x14ac:dyDescent="0.55000000000000004">
      <c r="A15" s="19">
        <v>14</v>
      </c>
      <c r="B15" s="21" t="s">
        <v>266</v>
      </c>
      <c r="C15" s="21" t="s">
        <v>267</v>
      </c>
      <c r="D15" s="22" t="s">
        <v>300</v>
      </c>
      <c r="E15" s="22" t="s">
        <v>288</v>
      </c>
    </row>
    <row r="16" spans="1:5" ht="28.8" x14ac:dyDescent="0.55000000000000004">
      <c r="A16" s="19">
        <v>15</v>
      </c>
      <c r="B16" s="21" t="s">
        <v>268</v>
      </c>
      <c r="C16" s="21" t="s">
        <v>269</v>
      </c>
      <c r="D16" s="22" t="s">
        <v>282</v>
      </c>
      <c r="E16" s="22"/>
    </row>
    <row r="17" spans="1:5" ht="28.8" x14ac:dyDescent="0.55000000000000004">
      <c r="A17" s="19">
        <v>16</v>
      </c>
      <c r="B17" s="21" t="s">
        <v>271</v>
      </c>
      <c r="C17" s="21" t="s">
        <v>272</v>
      </c>
      <c r="D17" s="22" t="s">
        <v>300</v>
      </c>
      <c r="E17" s="22" t="s">
        <v>287</v>
      </c>
    </row>
    <row r="18" spans="1:5" ht="43.2" x14ac:dyDescent="0.55000000000000004">
      <c r="A18" s="19">
        <v>17</v>
      </c>
      <c r="B18" s="21" t="s">
        <v>273</v>
      </c>
      <c r="C18" s="21" t="s">
        <v>274</v>
      </c>
      <c r="D18" s="22" t="s">
        <v>300</v>
      </c>
      <c r="E18" s="22" t="s">
        <v>297</v>
      </c>
    </row>
    <row r="19" spans="1:5" x14ac:dyDescent="0.55000000000000004">
      <c r="A19" s="19">
        <v>18</v>
      </c>
      <c r="B19" s="21" t="s">
        <v>276</v>
      </c>
      <c r="C19" s="21" t="s">
        <v>277</v>
      </c>
      <c r="D19" s="22" t="s">
        <v>282</v>
      </c>
      <c r="E19" s="22" t="s">
        <v>305</v>
      </c>
    </row>
    <row r="20" spans="1:5" ht="43.2" x14ac:dyDescent="0.55000000000000004">
      <c r="A20" s="19">
        <v>19</v>
      </c>
      <c r="B20" s="21" t="s">
        <v>357</v>
      </c>
      <c r="C20" s="21" t="s">
        <v>356</v>
      </c>
      <c r="D20" s="22" t="s">
        <v>282</v>
      </c>
      <c r="E20" s="22" t="s">
        <v>305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151-7D7B-4E13-A86C-35CB016C1B9B}">
  <dimension ref="A1:D20"/>
  <sheetViews>
    <sheetView workbookViewId="0">
      <selection activeCell="B20" sqref="B20"/>
    </sheetView>
  </sheetViews>
  <sheetFormatPr baseColWidth="10" defaultRowHeight="14.4" x14ac:dyDescent="0.55000000000000004"/>
  <cols>
    <col min="1" max="1" width="10.89453125" style="14"/>
    <col min="2" max="2" width="52.5234375" style="13" bestFit="1" customWidth="1"/>
    <col min="3" max="3" width="44" style="13" customWidth="1"/>
    <col min="4" max="4" width="10.89453125" style="13"/>
  </cols>
  <sheetData>
    <row r="1" spans="1:4" ht="23.7" x14ac:dyDescent="0.55000000000000004">
      <c r="A1" s="19" t="s">
        <v>278</v>
      </c>
      <c r="B1" s="20" t="s">
        <v>2</v>
      </c>
      <c r="C1" s="22" t="s">
        <v>314</v>
      </c>
      <c r="D1" s="22" t="s">
        <v>313</v>
      </c>
    </row>
    <row r="2" spans="1:4" x14ac:dyDescent="0.55000000000000004">
      <c r="A2" s="19">
        <v>1</v>
      </c>
      <c r="B2" s="21" t="s">
        <v>242</v>
      </c>
      <c r="C2" s="22" t="s">
        <v>334</v>
      </c>
      <c r="D2" s="24">
        <v>72981</v>
      </c>
    </row>
    <row r="3" spans="1:4" x14ac:dyDescent="0.55000000000000004">
      <c r="A3" s="19">
        <v>2</v>
      </c>
      <c r="B3" s="21" t="s">
        <v>244</v>
      </c>
      <c r="C3" s="22" t="s">
        <v>335</v>
      </c>
      <c r="D3" s="22"/>
    </row>
    <row r="4" spans="1:4" x14ac:dyDescent="0.55000000000000004">
      <c r="A4" s="19">
        <v>3</v>
      </c>
      <c r="B4" s="21" t="s">
        <v>72</v>
      </c>
      <c r="C4" s="22" t="s">
        <v>317</v>
      </c>
      <c r="D4" s="24">
        <v>45953</v>
      </c>
    </row>
    <row r="5" spans="1:4" x14ac:dyDescent="0.55000000000000004">
      <c r="A5" s="19">
        <v>4</v>
      </c>
      <c r="B5" s="21" t="s">
        <v>240</v>
      </c>
      <c r="C5" s="22" t="s">
        <v>317</v>
      </c>
      <c r="D5" s="24">
        <v>45953</v>
      </c>
    </row>
    <row r="6" spans="1:4" x14ac:dyDescent="0.55000000000000004">
      <c r="A6" s="19">
        <v>5</v>
      </c>
      <c r="B6" s="21" t="s">
        <v>298</v>
      </c>
      <c r="C6" s="22" t="s">
        <v>317</v>
      </c>
      <c r="D6" s="24">
        <v>45953</v>
      </c>
    </row>
    <row r="7" spans="1:4" x14ac:dyDescent="0.55000000000000004">
      <c r="A7" s="19">
        <v>6</v>
      </c>
      <c r="B7" s="21" t="s">
        <v>302</v>
      </c>
      <c r="C7" s="22" t="s">
        <v>318</v>
      </c>
      <c r="D7" s="24">
        <v>45940</v>
      </c>
    </row>
    <row r="8" spans="1:4" x14ac:dyDescent="0.55000000000000004">
      <c r="A8" s="19">
        <v>7</v>
      </c>
      <c r="B8" s="21" t="s">
        <v>247</v>
      </c>
      <c r="C8" s="22" t="s">
        <v>319</v>
      </c>
      <c r="D8" s="24">
        <v>45947</v>
      </c>
    </row>
    <row r="9" spans="1:4" x14ac:dyDescent="0.55000000000000004">
      <c r="A9" s="19">
        <v>8</v>
      </c>
      <c r="B9" s="21" t="s">
        <v>251</v>
      </c>
      <c r="C9" s="22" t="s">
        <v>321</v>
      </c>
      <c r="D9" s="24">
        <v>45953</v>
      </c>
    </row>
    <row r="10" spans="1:4" x14ac:dyDescent="0.55000000000000004">
      <c r="A10" s="19">
        <v>9</v>
      </c>
      <c r="B10" s="21" t="s">
        <v>253</v>
      </c>
      <c r="C10" s="22" t="s">
        <v>322</v>
      </c>
      <c r="D10" s="24">
        <v>45953</v>
      </c>
    </row>
    <row r="11" spans="1:4" x14ac:dyDescent="0.55000000000000004">
      <c r="A11" s="19">
        <v>10</v>
      </c>
      <c r="B11" s="21" t="s">
        <v>256</v>
      </c>
      <c r="C11" s="22" t="s">
        <v>317</v>
      </c>
      <c r="D11" s="24">
        <v>45953</v>
      </c>
    </row>
    <row r="12" spans="1:4" x14ac:dyDescent="0.55000000000000004">
      <c r="A12" s="19">
        <v>11</v>
      </c>
      <c r="B12" s="21" t="s">
        <v>258</v>
      </c>
      <c r="C12" s="22" t="s">
        <v>324</v>
      </c>
      <c r="D12" s="22" t="s">
        <v>323</v>
      </c>
    </row>
    <row r="13" spans="1:4" x14ac:dyDescent="0.55000000000000004">
      <c r="A13" s="19">
        <v>12</v>
      </c>
      <c r="B13" s="21" t="s">
        <v>261</v>
      </c>
      <c r="C13" s="22" t="s">
        <v>317</v>
      </c>
      <c r="D13" s="24">
        <v>45953</v>
      </c>
    </row>
    <row r="14" spans="1:4" x14ac:dyDescent="0.55000000000000004">
      <c r="A14" s="19">
        <v>13</v>
      </c>
      <c r="B14" s="21" t="s">
        <v>263</v>
      </c>
      <c r="C14" s="22" t="s">
        <v>327</v>
      </c>
      <c r="D14" s="24">
        <v>45940</v>
      </c>
    </row>
    <row r="15" spans="1:4" x14ac:dyDescent="0.55000000000000004">
      <c r="A15" s="19">
        <v>14</v>
      </c>
      <c r="B15" s="21" t="s">
        <v>266</v>
      </c>
      <c r="C15" s="22" t="s">
        <v>328</v>
      </c>
      <c r="D15" s="24">
        <v>45947</v>
      </c>
    </row>
    <row r="16" spans="1:4" x14ac:dyDescent="0.55000000000000004">
      <c r="A16" s="19">
        <v>15</v>
      </c>
      <c r="B16" s="21" t="s">
        <v>268</v>
      </c>
      <c r="C16" s="22" t="s">
        <v>317</v>
      </c>
      <c r="D16" s="24">
        <v>45940</v>
      </c>
    </row>
    <row r="17" spans="1:4" x14ac:dyDescent="0.55000000000000004">
      <c r="A17" s="19">
        <v>16</v>
      </c>
      <c r="B17" s="21" t="s">
        <v>271</v>
      </c>
      <c r="C17" s="22" t="s">
        <v>332</v>
      </c>
      <c r="D17" s="24">
        <v>45926</v>
      </c>
    </row>
    <row r="18" spans="1:4" x14ac:dyDescent="0.55000000000000004">
      <c r="A18" s="19">
        <v>17</v>
      </c>
      <c r="B18" s="21" t="s">
        <v>273</v>
      </c>
      <c r="C18" s="22" t="s">
        <v>333</v>
      </c>
      <c r="D18" s="24">
        <v>45926</v>
      </c>
    </row>
    <row r="19" spans="1:4" x14ac:dyDescent="0.55000000000000004">
      <c r="A19" s="19">
        <v>18</v>
      </c>
      <c r="B19" s="21" t="s">
        <v>276</v>
      </c>
      <c r="C19" s="22" t="s">
        <v>317</v>
      </c>
      <c r="D19" s="24">
        <v>45953</v>
      </c>
    </row>
    <row r="20" spans="1:4" x14ac:dyDescent="0.55000000000000004">
      <c r="A20" s="19">
        <v>19</v>
      </c>
      <c r="B20" s="21" t="s">
        <v>357</v>
      </c>
      <c r="C20" s="22" t="s">
        <v>317</v>
      </c>
      <c r="D20" s="24">
        <v>45953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39C4-D2DC-4635-A96D-B4AE35CFCD8F}">
  <dimension ref="A1:G21"/>
  <sheetViews>
    <sheetView tabSelected="1" workbookViewId="0">
      <selection activeCell="G21" sqref="A1:G21"/>
    </sheetView>
  </sheetViews>
  <sheetFormatPr baseColWidth="10" defaultRowHeight="14.4" x14ac:dyDescent="0.55000000000000004"/>
  <cols>
    <col min="2" max="2" width="26.05078125" customWidth="1"/>
    <col min="3" max="3" width="13.9453125" bestFit="1" customWidth="1"/>
    <col min="4" max="4" width="48.9453125" customWidth="1"/>
    <col min="5" max="5" width="21.1015625" customWidth="1"/>
    <col min="6" max="6" width="16" customWidth="1"/>
    <col min="7" max="7" width="15.62890625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x14ac:dyDescent="0.55000000000000004">
      <c r="A4" s="19">
        <v>3</v>
      </c>
      <c r="B4" s="21" t="s">
        <v>72</v>
      </c>
      <c r="C4" s="22" t="s">
        <v>343</v>
      </c>
      <c r="D4" s="22" t="s">
        <v>374</v>
      </c>
      <c r="E4" s="24" t="s">
        <v>382</v>
      </c>
      <c r="F4" t="s">
        <v>383</v>
      </c>
      <c r="G4" s="26">
        <v>46227</v>
      </c>
    </row>
    <row r="5" spans="1:7" x14ac:dyDescent="0.55000000000000004">
      <c r="A5" s="19">
        <v>4</v>
      </c>
      <c r="B5" s="21" t="s">
        <v>240</v>
      </c>
      <c r="C5" s="22" t="s">
        <v>343</v>
      </c>
      <c r="D5" s="22" t="s">
        <v>392</v>
      </c>
      <c r="E5" s="24" t="s">
        <v>393</v>
      </c>
      <c r="F5" t="s">
        <v>394</v>
      </c>
      <c r="G5" s="26">
        <v>46227</v>
      </c>
    </row>
    <row r="6" spans="1:7" x14ac:dyDescent="0.55000000000000004">
      <c r="A6" s="19">
        <v>5</v>
      </c>
      <c r="B6" s="21" t="s">
        <v>298</v>
      </c>
      <c r="C6" s="22" t="s">
        <v>343</v>
      </c>
      <c r="D6" s="22" t="s">
        <v>377</v>
      </c>
      <c r="E6" s="24" t="s">
        <v>378</v>
      </c>
      <c r="G6" s="26">
        <v>46227</v>
      </c>
    </row>
    <row r="7" spans="1:7" x14ac:dyDescent="0.55000000000000004">
      <c r="A7" s="19">
        <v>6</v>
      </c>
      <c r="B7" s="21" t="s">
        <v>302</v>
      </c>
      <c r="C7" s="22" t="s">
        <v>342</v>
      </c>
      <c r="D7" s="22" t="s">
        <v>375</v>
      </c>
      <c r="E7" s="24" t="s">
        <v>376</v>
      </c>
      <c r="G7" s="26"/>
    </row>
    <row r="8" spans="1:7" x14ac:dyDescent="0.55000000000000004">
      <c r="A8" s="19">
        <v>7</v>
      </c>
      <c r="B8" s="21" t="s">
        <v>247</v>
      </c>
      <c r="C8" s="22" t="s">
        <v>342</v>
      </c>
      <c r="D8" s="25"/>
      <c r="E8" s="22" t="s">
        <v>384</v>
      </c>
      <c r="F8" t="s">
        <v>395</v>
      </c>
      <c r="G8" s="26">
        <v>46227</v>
      </c>
    </row>
    <row r="9" spans="1:7" ht="28.8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28.8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28.8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7" ht="28.8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7" ht="28.8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7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7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  <row r="21" spans="1:7" x14ac:dyDescent="0.55000000000000004">
      <c r="A21" s="27">
        <v>20</v>
      </c>
      <c r="B21" s="28" t="s">
        <v>370</v>
      </c>
      <c r="C21" s="25" t="s">
        <v>343</v>
      </c>
      <c r="D21" t="s">
        <v>389</v>
      </c>
      <c r="E21" t="s">
        <v>390</v>
      </c>
      <c r="F21" t="s">
        <v>391</v>
      </c>
      <c r="G21" s="26">
        <v>46204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F1D7-2508-4D4B-8D36-9E4891477550}">
  <dimension ref="A1:G21"/>
  <sheetViews>
    <sheetView workbookViewId="0">
      <selection activeCell="C7" sqref="C7"/>
    </sheetView>
  </sheetViews>
  <sheetFormatPr baseColWidth="10" defaultRowHeight="14.4" x14ac:dyDescent="0.55000000000000004"/>
  <cols>
    <col min="2" max="2" width="26.05078125" customWidth="1"/>
    <col min="3" max="3" width="13.9453125" bestFit="1" customWidth="1"/>
    <col min="4" max="4" width="48.9453125" customWidth="1"/>
    <col min="5" max="5" width="21.1015625" customWidth="1"/>
    <col min="6" max="6" width="16" customWidth="1"/>
    <col min="7" max="7" width="15.62890625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ht="28.8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ht="28.8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ht="28.8" x14ac:dyDescent="0.55000000000000004">
      <c r="A4" s="19">
        <v>3</v>
      </c>
      <c r="B4" s="21" t="s">
        <v>72</v>
      </c>
      <c r="C4" s="22" t="s">
        <v>343</v>
      </c>
      <c r="D4" s="22" t="s">
        <v>374</v>
      </c>
      <c r="E4" s="24" t="s">
        <v>382</v>
      </c>
      <c r="F4" t="s">
        <v>383</v>
      </c>
      <c r="G4" s="26">
        <v>46026</v>
      </c>
    </row>
    <row r="5" spans="1:7" ht="43.2" x14ac:dyDescent="0.55000000000000004">
      <c r="A5" s="19">
        <v>4</v>
      </c>
      <c r="B5" s="21" t="s">
        <v>240</v>
      </c>
      <c r="C5" s="22" t="s">
        <v>343</v>
      </c>
      <c r="D5" s="22" t="s">
        <v>379</v>
      </c>
      <c r="E5" s="24" t="s">
        <v>380</v>
      </c>
      <c r="F5" t="s">
        <v>381</v>
      </c>
      <c r="G5" s="26">
        <v>46024</v>
      </c>
    </row>
    <row r="6" spans="1:7" ht="28.8" x14ac:dyDescent="0.55000000000000004">
      <c r="A6" s="19">
        <v>5</v>
      </c>
      <c r="B6" s="21" t="s">
        <v>298</v>
      </c>
      <c r="C6" s="22" t="s">
        <v>343</v>
      </c>
      <c r="D6" s="22" t="s">
        <v>377</v>
      </c>
      <c r="E6" s="24" t="s">
        <v>378</v>
      </c>
      <c r="G6" s="26">
        <v>46010</v>
      </c>
    </row>
    <row r="7" spans="1:7" ht="28.8" x14ac:dyDescent="0.55000000000000004">
      <c r="A7" s="19">
        <v>6</v>
      </c>
      <c r="B7" s="21" t="s">
        <v>302</v>
      </c>
      <c r="C7" s="22" t="s">
        <v>342</v>
      </c>
      <c r="D7" s="22" t="s">
        <v>375</v>
      </c>
      <c r="E7" s="24" t="s">
        <v>376</v>
      </c>
      <c r="G7" s="26"/>
    </row>
    <row r="8" spans="1:7" ht="28.8" x14ac:dyDescent="0.55000000000000004">
      <c r="A8" s="19">
        <v>7</v>
      </c>
      <c r="B8" s="21" t="s">
        <v>247</v>
      </c>
      <c r="C8" s="22" t="s">
        <v>342</v>
      </c>
      <c r="D8" s="25"/>
      <c r="E8" s="22" t="s">
        <v>384</v>
      </c>
      <c r="F8" t="s">
        <v>385</v>
      </c>
      <c r="G8" s="26">
        <v>46029</v>
      </c>
    </row>
    <row r="9" spans="1:7" ht="72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28.8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28.8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7" ht="28.8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7" ht="28.8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7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7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  <row r="21" spans="1:7" x14ac:dyDescent="0.55000000000000004">
      <c r="A21" s="27">
        <v>20</v>
      </c>
      <c r="B21" s="28" t="s">
        <v>370</v>
      </c>
      <c r="C21" s="25" t="s">
        <v>343</v>
      </c>
      <c r="D21" t="s">
        <v>386</v>
      </c>
      <c r="E21" t="s">
        <v>387</v>
      </c>
      <c r="F21" t="s">
        <v>388</v>
      </c>
      <c r="G21" s="26">
        <v>46027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72C5-E7E8-4101-B500-EC480E0B30A0}">
  <dimension ref="A1:G21"/>
  <sheetViews>
    <sheetView topLeftCell="D12" workbookViewId="0">
      <selection sqref="A1:G21"/>
    </sheetView>
  </sheetViews>
  <sheetFormatPr baseColWidth="10" defaultRowHeight="14.4" x14ac:dyDescent="0.55000000000000004"/>
  <cols>
    <col min="3" max="4" width="44.5234375" customWidth="1"/>
    <col min="5" max="5" width="45.47265625" bestFit="1" customWidth="1"/>
    <col min="6" max="6" width="27.47265625" bestFit="1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ht="28.8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ht="28.8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ht="28.8" x14ac:dyDescent="0.55000000000000004">
      <c r="A4" s="19">
        <v>3</v>
      </c>
      <c r="B4" s="21" t="s">
        <v>72</v>
      </c>
      <c r="C4" s="22" t="s">
        <v>343</v>
      </c>
      <c r="D4" s="22" t="s">
        <v>361</v>
      </c>
      <c r="E4" s="24" t="s">
        <v>362</v>
      </c>
      <c r="F4" t="s">
        <v>363</v>
      </c>
      <c r="G4" s="26">
        <v>46001</v>
      </c>
    </row>
    <row r="5" spans="1:7" ht="43.2" x14ac:dyDescent="0.55000000000000004">
      <c r="A5" s="19">
        <v>4</v>
      </c>
      <c r="B5" s="21" t="s">
        <v>240</v>
      </c>
      <c r="C5" s="22" t="s">
        <v>343</v>
      </c>
      <c r="D5" s="22" t="s">
        <v>364</v>
      </c>
      <c r="E5" s="24" t="s">
        <v>365</v>
      </c>
      <c r="F5" t="s">
        <v>366</v>
      </c>
      <c r="G5" s="26">
        <v>46001</v>
      </c>
    </row>
    <row r="6" spans="1:7" ht="28.8" x14ac:dyDescent="0.55000000000000004">
      <c r="A6" s="19">
        <v>5</v>
      </c>
      <c r="B6" s="21" t="s">
        <v>298</v>
      </c>
      <c r="C6" s="22" t="s">
        <v>343</v>
      </c>
      <c r="D6" s="22" t="s">
        <v>344</v>
      </c>
      <c r="E6" s="24" t="s">
        <v>347</v>
      </c>
      <c r="F6" t="s">
        <v>350</v>
      </c>
      <c r="G6" s="26">
        <v>46003</v>
      </c>
    </row>
    <row r="7" spans="1:7" ht="28.8" x14ac:dyDescent="0.55000000000000004">
      <c r="A7" s="19">
        <v>6</v>
      </c>
      <c r="B7" s="21" t="s">
        <v>302</v>
      </c>
      <c r="C7" s="22" t="s">
        <v>343</v>
      </c>
      <c r="D7" s="22" t="s">
        <v>367</v>
      </c>
      <c r="E7" s="24" t="s">
        <v>368</v>
      </c>
      <c r="F7" t="s">
        <v>369</v>
      </c>
      <c r="G7" s="26">
        <v>46003</v>
      </c>
    </row>
    <row r="8" spans="1:7" ht="28.8" x14ac:dyDescent="0.55000000000000004">
      <c r="A8" s="19">
        <v>7</v>
      </c>
      <c r="B8" s="21" t="s">
        <v>247</v>
      </c>
      <c r="C8" s="22" t="s">
        <v>343</v>
      </c>
      <c r="D8" s="25" t="s">
        <v>354</v>
      </c>
      <c r="E8" s="22" t="s">
        <v>353</v>
      </c>
      <c r="F8" t="s">
        <v>352</v>
      </c>
      <c r="G8" s="26">
        <v>46003</v>
      </c>
    </row>
    <row r="9" spans="1:7" ht="72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72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57.6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ht="28.8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ht="43.2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ht="43.2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7" ht="72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7" ht="57.6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7" ht="28.8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7" ht="43.2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  <row r="21" spans="1:7" ht="28.8" x14ac:dyDescent="0.55000000000000004">
      <c r="A21" s="27">
        <v>20</v>
      </c>
      <c r="B21" s="28" t="s">
        <v>370</v>
      </c>
      <c r="C21" s="25" t="s">
        <v>343</v>
      </c>
      <c r="D21" t="s">
        <v>371</v>
      </c>
      <c r="E21" t="s">
        <v>372</v>
      </c>
      <c r="F21" t="s">
        <v>373</v>
      </c>
      <c r="G21" s="26">
        <v>46001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D12E-DA0B-43AF-B789-175155486F77}">
  <dimension ref="A1:G20"/>
  <sheetViews>
    <sheetView zoomScale="93" workbookViewId="0">
      <selection sqref="A1:XFD1048576"/>
    </sheetView>
  </sheetViews>
  <sheetFormatPr baseColWidth="10" defaultRowHeight="14.4" x14ac:dyDescent="0.55000000000000004"/>
  <cols>
    <col min="3" max="4" width="44.5234375" customWidth="1"/>
    <col min="5" max="5" width="45.47265625" bestFit="1" customWidth="1"/>
    <col min="6" max="6" width="27.47265625" bestFit="1" customWidth="1"/>
  </cols>
  <sheetData>
    <row r="1" spans="1:7" ht="23.7" x14ac:dyDescent="0.55000000000000004">
      <c r="A1" s="19" t="s">
        <v>278</v>
      </c>
      <c r="B1" s="20" t="s">
        <v>2</v>
      </c>
      <c r="C1" s="22" t="s">
        <v>341</v>
      </c>
      <c r="D1" s="22" t="s">
        <v>338</v>
      </c>
      <c r="E1" s="22" t="s">
        <v>336</v>
      </c>
      <c r="F1" s="25" t="s">
        <v>337</v>
      </c>
      <c r="G1" s="25" t="s">
        <v>355</v>
      </c>
    </row>
    <row r="2" spans="1:7" ht="28.8" x14ac:dyDescent="0.55000000000000004">
      <c r="A2" s="19">
        <v>1</v>
      </c>
      <c r="B2" s="21" t="s">
        <v>242</v>
      </c>
      <c r="C2" s="22" t="s">
        <v>342</v>
      </c>
      <c r="D2" s="22"/>
      <c r="E2" s="24" t="s">
        <v>337</v>
      </c>
    </row>
    <row r="3" spans="1:7" ht="28.8" x14ac:dyDescent="0.55000000000000004">
      <c r="A3" s="19">
        <v>2</v>
      </c>
      <c r="B3" s="21" t="s">
        <v>244</v>
      </c>
      <c r="C3" s="22" t="s">
        <v>342</v>
      </c>
      <c r="D3" s="22"/>
      <c r="E3" s="24" t="s">
        <v>345</v>
      </c>
    </row>
    <row r="4" spans="1:7" ht="28.8" x14ac:dyDescent="0.55000000000000004">
      <c r="A4" s="19">
        <v>3</v>
      </c>
      <c r="B4" s="21" t="s">
        <v>72</v>
      </c>
      <c r="C4" s="22" t="s">
        <v>343</v>
      </c>
      <c r="D4" s="22" t="s">
        <v>339</v>
      </c>
      <c r="E4" s="24" t="s">
        <v>340</v>
      </c>
      <c r="F4" t="s">
        <v>349</v>
      </c>
      <c r="G4" s="26">
        <v>45971</v>
      </c>
    </row>
    <row r="5" spans="1:7" ht="43.2" x14ac:dyDescent="0.55000000000000004">
      <c r="A5" s="19">
        <v>4</v>
      </c>
      <c r="B5" s="21" t="s">
        <v>240</v>
      </c>
      <c r="C5" s="22" t="s">
        <v>342</v>
      </c>
      <c r="D5" s="22"/>
      <c r="E5" s="24"/>
    </row>
    <row r="6" spans="1:7" ht="28.8" x14ac:dyDescent="0.55000000000000004">
      <c r="A6" s="19">
        <v>5</v>
      </c>
      <c r="B6" s="21" t="s">
        <v>298</v>
      </c>
      <c r="C6" s="22" t="s">
        <v>343</v>
      </c>
      <c r="D6" s="22" t="s">
        <v>344</v>
      </c>
      <c r="E6" s="24" t="s">
        <v>347</v>
      </c>
      <c r="F6" t="s">
        <v>350</v>
      </c>
      <c r="G6" s="26">
        <v>45941</v>
      </c>
    </row>
    <row r="7" spans="1:7" ht="28.8" x14ac:dyDescent="0.55000000000000004">
      <c r="A7" s="19">
        <v>6</v>
      </c>
      <c r="B7" s="21" t="s">
        <v>302</v>
      </c>
      <c r="C7" s="22" t="s">
        <v>343</v>
      </c>
      <c r="D7" s="22" t="s">
        <v>346</v>
      </c>
      <c r="E7" s="24" t="s">
        <v>348</v>
      </c>
      <c r="F7" t="s">
        <v>351</v>
      </c>
    </row>
    <row r="8" spans="1:7" ht="28.8" x14ac:dyDescent="0.55000000000000004">
      <c r="A8" s="19">
        <v>7</v>
      </c>
      <c r="B8" s="21" t="s">
        <v>247</v>
      </c>
      <c r="C8" s="22" t="s">
        <v>343</v>
      </c>
      <c r="D8" s="25" t="s">
        <v>354</v>
      </c>
      <c r="E8" s="22" t="s">
        <v>353</v>
      </c>
      <c r="F8" t="s">
        <v>352</v>
      </c>
      <c r="G8" s="26">
        <v>45949</v>
      </c>
    </row>
    <row r="9" spans="1:7" ht="72" x14ac:dyDescent="0.55000000000000004">
      <c r="A9" s="19">
        <v>8</v>
      </c>
      <c r="B9" s="21" t="s">
        <v>251</v>
      </c>
      <c r="C9" s="22" t="s">
        <v>342</v>
      </c>
      <c r="D9" s="22"/>
      <c r="E9" s="24"/>
    </row>
    <row r="10" spans="1:7" ht="72" x14ac:dyDescent="0.55000000000000004">
      <c r="A10" s="19">
        <v>9</v>
      </c>
      <c r="B10" s="21" t="s">
        <v>253</v>
      </c>
      <c r="C10" s="22" t="s">
        <v>342</v>
      </c>
      <c r="D10" s="22"/>
      <c r="E10" s="24"/>
    </row>
    <row r="11" spans="1:7" ht="57.6" x14ac:dyDescent="0.55000000000000004">
      <c r="A11" s="19">
        <v>10</v>
      </c>
      <c r="B11" s="21" t="s">
        <v>256</v>
      </c>
      <c r="C11" s="22" t="s">
        <v>342</v>
      </c>
      <c r="D11" s="22"/>
      <c r="E11" s="24"/>
    </row>
    <row r="12" spans="1:7" ht="28.8" x14ac:dyDescent="0.55000000000000004">
      <c r="A12" s="19">
        <v>11</v>
      </c>
      <c r="B12" s="21" t="s">
        <v>258</v>
      </c>
      <c r="C12" s="22" t="s">
        <v>342</v>
      </c>
      <c r="D12" s="22"/>
      <c r="E12" s="22"/>
    </row>
    <row r="13" spans="1:7" x14ac:dyDescent="0.55000000000000004">
      <c r="A13" s="19">
        <v>12</v>
      </c>
      <c r="B13" s="21" t="s">
        <v>261</v>
      </c>
      <c r="C13" s="22" t="s">
        <v>342</v>
      </c>
      <c r="D13" s="22"/>
      <c r="E13" s="24"/>
    </row>
    <row r="14" spans="1:7" ht="43.2" x14ac:dyDescent="0.55000000000000004">
      <c r="A14" s="19">
        <v>13</v>
      </c>
      <c r="B14" s="21" t="s">
        <v>263</v>
      </c>
      <c r="C14" s="22" t="s">
        <v>342</v>
      </c>
      <c r="D14" s="22"/>
      <c r="E14" s="24"/>
    </row>
    <row r="15" spans="1:7" ht="43.2" x14ac:dyDescent="0.55000000000000004">
      <c r="A15" s="19">
        <v>14</v>
      </c>
      <c r="B15" s="21" t="s">
        <v>266</v>
      </c>
      <c r="C15" s="22" t="s">
        <v>342</v>
      </c>
      <c r="D15" s="22"/>
      <c r="E15" s="24"/>
    </row>
    <row r="16" spans="1:7" x14ac:dyDescent="0.55000000000000004">
      <c r="A16" s="19">
        <v>15</v>
      </c>
      <c r="B16" s="21" t="s">
        <v>268</v>
      </c>
      <c r="C16" s="22" t="s">
        <v>342</v>
      </c>
      <c r="D16" s="22"/>
      <c r="E16" s="24"/>
    </row>
    <row r="17" spans="1:5" ht="72" x14ac:dyDescent="0.55000000000000004">
      <c r="A17" s="19">
        <v>16</v>
      </c>
      <c r="B17" s="21" t="s">
        <v>271</v>
      </c>
      <c r="C17" s="22" t="s">
        <v>342</v>
      </c>
      <c r="D17" s="22"/>
      <c r="E17" s="24"/>
    </row>
    <row r="18" spans="1:5" ht="57.6" x14ac:dyDescent="0.55000000000000004">
      <c r="A18" s="19">
        <v>17</v>
      </c>
      <c r="B18" s="21" t="s">
        <v>273</v>
      </c>
      <c r="C18" s="22" t="s">
        <v>342</v>
      </c>
      <c r="D18" s="22"/>
      <c r="E18" s="24"/>
    </row>
    <row r="19" spans="1:5" ht="28.8" x14ac:dyDescent="0.55000000000000004">
      <c r="A19" s="19">
        <v>18</v>
      </c>
      <c r="B19" s="21" t="s">
        <v>276</v>
      </c>
      <c r="C19" s="22" t="s">
        <v>342</v>
      </c>
      <c r="D19" s="22"/>
      <c r="E19" s="24"/>
    </row>
    <row r="20" spans="1:5" ht="43.2" x14ac:dyDescent="0.55000000000000004">
      <c r="A20" s="19">
        <v>19</v>
      </c>
      <c r="B20" s="21" t="s">
        <v>358</v>
      </c>
      <c r="C20" s="22" t="s">
        <v>342</v>
      </c>
      <c r="D20" s="22"/>
      <c r="E20" s="2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Tabelle1</vt:lpstr>
      <vt:lpstr>Tabelle2</vt:lpstr>
      <vt:lpstr>Tabelle3</vt:lpstr>
      <vt:lpstr>Table with Risks and Measures</vt:lpstr>
      <vt:lpstr>Graphical Overview</vt:lpstr>
      <vt:lpstr>RiskEval</vt:lpstr>
      <vt:lpstr>RiskTreatment</vt:lpstr>
      <vt:lpstr>RiskWhatWhen</vt:lpstr>
      <vt:lpstr>CheckJuly24072026</vt:lpstr>
      <vt:lpstr>CheckJanuary09</vt:lpstr>
      <vt:lpstr>CheckDecember12</vt:lpstr>
      <vt:lpstr>CheckNovember14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Roccaro</dc:creator>
  <cp:lastModifiedBy>Roccaro Roland Angelo</cp:lastModifiedBy>
  <dcterms:created xsi:type="dcterms:W3CDTF">2025-10-17T15:35:44Z</dcterms:created>
  <dcterms:modified xsi:type="dcterms:W3CDTF">2026-07-24T20:20:05Z</dcterms:modified>
</cp:coreProperties>
</file>